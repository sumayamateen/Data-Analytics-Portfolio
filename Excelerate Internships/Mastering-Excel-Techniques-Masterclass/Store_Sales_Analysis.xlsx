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Excelerate\Excelerate- Mastering Excel Techniques Masterclass\"/>
    </mc:Choice>
  </mc:AlternateContent>
  <xr:revisionPtr revIDLastSave="0" documentId="13_ncr:1_{CF1DD3DB-0F4B-4FA8-BE94-A749A0E94DA3}" xr6:coauthVersionLast="47" xr6:coauthVersionMax="47" xr10:uidLastSave="{00000000-0000-0000-0000-000000000000}"/>
  <bookViews>
    <workbookView xWindow="-120" yWindow="-120" windowWidth="20730" windowHeight="11160" tabRatio="760" xr2:uid="{1117579D-4FA0-4784-9C13-8CF96549B3DB}"/>
  </bookViews>
  <sheets>
    <sheet name="Clean Data" sheetId="1" r:id="rId1"/>
    <sheet name="Conditional Foramtting &amp; IFs  " sheetId="5" r:id="rId2"/>
    <sheet name="Data Validation" sheetId="6" r:id="rId3"/>
    <sheet name="Lookups" sheetId="7" r:id="rId4"/>
    <sheet name="Pivot Tables" sheetId="2" r:id="rId5"/>
    <sheet name="Dashboard" sheetId="3" r:id="rId6"/>
    <sheet name="Dashboard Description" sheetId="4" r:id="rId7"/>
  </sheets>
  <externalReferences>
    <externalReference r:id="rId8"/>
    <externalReference r:id="rId9"/>
  </externalReferences>
  <definedNames>
    <definedName name="_xlcn.WorksheetConnection_SalesDataSet.xlsxTable11" hidden="1">Table1</definedName>
    <definedName name="_xlcn.WorksheetConnection_SalesDataSet.xlsxTable131" hidden="1">[1]!Table13[#Data]</definedName>
    <definedName name="_xlcn.WorksheetConnection_SalesDataSetversion2.xlsbTable1_11" hidden="1">Table1_1[]</definedName>
    <definedName name="_xlcn.WorksheetConnection_Sheet1A1I511" hidden="1">[2]Sheet2!$A$1:$I$51</definedName>
    <definedName name="Slicer_Product">#N/A</definedName>
    <definedName name="Slicer_Region">#N/A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Set.xlsx!Table1"/>
          <x15:modelTable id="Table1_1" name="Table1_1" connection="WorksheetConnection_Sales DataSet (version 2).xlsb!Table1_1"/>
          <x15:modelTable id="Range-2214db42-c681-4d8f-a4c1-b1a5efc60703" name="Range" connection="WorksheetConnection_Sheet1!$A$1:$I$51"/>
          <x15:modelTable id="Table13-a0951934-57d1-4653-98e0-fe56ccada00e" name="Table13" connection="WorksheetConnection_Sales DataSet.xlsx!Table13"/>
        </x15:modelTables>
        <x15:modelRelationships>
          <x15:modelRelationship fromTable="Table1" fromColumn="Order ID" toTable="Table1_1" toColumn="Order ID"/>
        </x15:modelRelationships>
        <x15:extLst>
          <ext xmlns:x16="http://schemas.microsoft.com/office/spreadsheetml/2014/11/main" uri="{9835A34E-60A6-4A7C-AAB8-D5F71C897F49}">
            <x16:modelTimeGroupings>
              <x16:modelTimeGrouping tableName="Table1_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M16" i="7" l="1"/>
  <c r="M18" i="7"/>
  <c r="M17" i="7"/>
  <c r="O18" i="7"/>
  <c r="O17" i="7"/>
  <c r="O16" i="7"/>
  <c r="M51" i="5"/>
  <c r="L51" i="5"/>
  <c r="J51" i="5"/>
  <c r="M50" i="5"/>
  <c r="L50" i="5"/>
  <c r="J50" i="5"/>
  <c r="M49" i="5"/>
  <c r="L49" i="5"/>
  <c r="J49" i="5"/>
  <c r="M48" i="5"/>
  <c r="L48" i="5"/>
  <c r="J48" i="5"/>
  <c r="M47" i="5"/>
  <c r="L47" i="5"/>
  <c r="J47" i="5"/>
  <c r="M46" i="5"/>
  <c r="L46" i="5"/>
  <c r="J46" i="5"/>
  <c r="M45" i="5"/>
  <c r="L45" i="5"/>
  <c r="J45" i="5"/>
  <c r="M44" i="5"/>
  <c r="L44" i="5"/>
  <c r="J44" i="5"/>
  <c r="M43" i="5"/>
  <c r="L43" i="5"/>
  <c r="J43" i="5"/>
  <c r="M42" i="5"/>
  <c r="L42" i="5"/>
  <c r="J42" i="5"/>
  <c r="M41" i="5"/>
  <c r="L41" i="5"/>
  <c r="J41" i="5"/>
  <c r="M40" i="5"/>
  <c r="L40" i="5"/>
  <c r="J40" i="5"/>
  <c r="M39" i="5"/>
  <c r="L39" i="5"/>
  <c r="J39" i="5"/>
  <c r="M38" i="5"/>
  <c r="L38" i="5"/>
  <c r="J38" i="5"/>
  <c r="M37" i="5"/>
  <c r="L37" i="5"/>
  <c r="J37" i="5"/>
  <c r="M36" i="5"/>
  <c r="L36" i="5"/>
  <c r="J36" i="5"/>
  <c r="M35" i="5"/>
  <c r="L35" i="5"/>
  <c r="J35" i="5"/>
  <c r="M34" i="5"/>
  <c r="L34" i="5"/>
  <c r="J34" i="5"/>
  <c r="M33" i="5"/>
  <c r="L33" i="5"/>
  <c r="J33" i="5"/>
  <c r="M32" i="5"/>
  <c r="L32" i="5"/>
  <c r="J32" i="5"/>
  <c r="M31" i="5"/>
  <c r="L31" i="5"/>
  <c r="J31" i="5"/>
  <c r="M30" i="5"/>
  <c r="L30" i="5"/>
  <c r="J30" i="5"/>
  <c r="M29" i="5"/>
  <c r="L29" i="5"/>
  <c r="J29" i="5"/>
  <c r="M28" i="5"/>
  <c r="L28" i="5"/>
  <c r="J28" i="5"/>
  <c r="M27" i="5"/>
  <c r="L27" i="5"/>
  <c r="J27" i="5"/>
  <c r="M26" i="5"/>
  <c r="L26" i="5"/>
  <c r="J26" i="5"/>
  <c r="M25" i="5"/>
  <c r="L25" i="5"/>
  <c r="J25" i="5"/>
  <c r="M24" i="5"/>
  <c r="L24" i="5"/>
  <c r="J24" i="5"/>
  <c r="M23" i="5"/>
  <c r="L23" i="5"/>
  <c r="J23" i="5"/>
  <c r="M22" i="5"/>
  <c r="L22" i="5"/>
  <c r="J22" i="5"/>
  <c r="M21" i="5"/>
  <c r="L21" i="5"/>
  <c r="J21" i="5"/>
  <c r="M20" i="5"/>
  <c r="L20" i="5"/>
  <c r="J20" i="5"/>
  <c r="M19" i="5"/>
  <c r="L19" i="5"/>
  <c r="J19" i="5"/>
  <c r="M18" i="5"/>
  <c r="L18" i="5"/>
  <c r="J18" i="5"/>
  <c r="T17" i="5"/>
  <c r="S17" i="5"/>
  <c r="R17" i="5"/>
  <c r="Q17" i="5"/>
  <c r="P17" i="5"/>
  <c r="M17" i="5"/>
  <c r="L17" i="5"/>
  <c r="J17" i="5"/>
  <c r="T16" i="5"/>
  <c r="S16" i="5"/>
  <c r="R16" i="5"/>
  <c r="Q16" i="5"/>
  <c r="P16" i="5"/>
  <c r="M16" i="5"/>
  <c r="L16" i="5"/>
  <c r="J16" i="5"/>
  <c r="T15" i="5"/>
  <c r="S15" i="5"/>
  <c r="R15" i="5"/>
  <c r="Q15" i="5"/>
  <c r="P15" i="5"/>
  <c r="M15" i="5"/>
  <c r="L15" i="5"/>
  <c r="J15" i="5"/>
  <c r="T14" i="5"/>
  <c r="S14" i="5"/>
  <c r="R14" i="5"/>
  <c r="Q14" i="5"/>
  <c r="Q18" i="5" s="1"/>
  <c r="P14" i="5"/>
  <c r="M14" i="5"/>
  <c r="L14" i="5"/>
  <c r="J14" i="5"/>
  <c r="M13" i="5"/>
  <c r="L13" i="5"/>
  <c r="J13" i="5"/>
  <c r="M12" i="5"/>
  <c r="L12" i="5"/>
  <c r="J12" i="5"/>
  <c r="M11" i="5"/>
  <c r="L11" i="5"/>
  <c r="J11" i="5"/>
  <c r="M10" i="5"/>
  <c r="L10" i="5"/>
  <c r="J10" i="5"/>
  <c r="M9" i="5"/>
  <c r="L9" i="5"/>
  <c r="J9" i="5"/>
  <c r="M8" i="5"/>
  <c r="L8" i="5"/>
  <c r="J8" i="5"/>
  <c r="M7" i="5"/>
  <c r="L7" i="5"/>
  <c r="J7" i="5"/>
  <c r="P6" i="5"/>
  <c r="M6" i="5"/>
  <c r="L6" i="5"/>
  <c r="J6" i="5"/>
  <c r="P5" i="5"/>
  <c r="M5" i="5"/>
  <c r="L5" i="5"/>
  <c r="J5" i="5"/>
  <c r="P4" i="5"/>
  <c r="M4" i="5"/>
  <c r="L4" i="5"/>
  <c r="J4" i="5"/>
  <c r="P3" i="5"/>
  <c r="P7" i="5" s="1"/>
  <c r="M3" i="5"/>
  <c r="L3" i="5"/>
  <c r="J3" i="5"/>
  <c r="M2" i="5"/>
  <c r="L2" i="5"/>
  <c r="J2" i="5"/>
  <c r="R3" i="1"/>
  <c r="R2" i="1"/>
  <c r="R18" i="5" l="1"/>
  <c r="T18" i="5"/>
  <c r="S18" i="5"/>
  <c r="P1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470646-234A-4519-B5B6-7557230BA8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84BBF2-5F23-4D94-BAAD-F7A9D9AE3E94}" name="WorksheetConnection_Sales DataSet (version 2).xlsb!Table1_1" type="102" refreshedVersion="8" minRefreshableVersion="5">
    <extLst>
      <ext xmlns:x15="http://schemas.microsoft.com/office/spreadsheetml/2010/11/main" uri="{DE250136-89BD-433C-8126-D09CA5730AF9}">
        <x15:connection id="Table1_1" autoDelete="1">
          <x15:rangePr sourceName="_xlcn.WorksheetConnection_SalesDataSetversion2.xlsbTable1_11"/>
        </x15:connection>
      </ext>
    </extLst>
  </connection>
  <connection id="3" xr16:uid="{80EC2C19-7325-43B4-8FA0-82D112F45E9B}" name="WorksheetConnection_Sales DataSet.xlsx!Table1" type="102" refreshedVersion="8" minRefreshableVersion="5">
    <extLst>
      <ext xmlns:x15="http://schemas.microsoft.com/office/spreadsheetml/2010/11/main" uri="{DE250136-89BD-433C-8126-D09CA5730AF9}">
        <x15:connection id="Table1" autoDelete="1">
          <x15:rangePr sourceName="_xlcn.WorksheetConnection_SalesDataSet.xlsxTable11"/>
        </x15:connection>
      </ext>
    </extLst>
  </connection>
  <connection id="4" xr16:uid="{9E6505D9-DE9D-480E-BD19-1A28B7470644}" name="WorksheetConnection_Sales DataSet.xlsx!Table13" type="102" refreshedVersion="8" minRefreshableVersion="5">
    <extLst>
      <ext xmlns:x15="http://schemas.microsoft.com/office/spreadsheetml/2010/11/main" uri="{DE250136-89BD-433C-8126-D09CA5730AF9}">
        <x15:connection id="Table13-a0951934-57d1-4653-98e0-fe56ccada00e" autoDelete="1">
          <x15:rangePr sourceName="_xlcn.WorksheetConnection_SalesDataSet.xlsxTable131"/>
        </x15:connection>
      </ext>
    </extLst>
  </connection>
  <connection id="5" xr16:uid="{F25ADE32-DEF3-451C-9734-BAA28C497D62}" name="WorksheetConnection_Sheet1!$A$1:$I$51" type="102" refreshedVersion="8" minRefreshableVersion="5">
    <extLst>
      <ext xmlns:x15="http://schemas.microsoft.com/office/spreadsheetml/2010/11/main" uri="{DE250136-89BD-433C-8126-D09CA5730AF9}">
        <x15:connection id="Range-2214db42-c681-4d8f-a4c1-b1a5efc60703" autoDelete="1">
          <x15:rangePr sourceName="_xlcn.WorksheetConnection_Sheet1A1I5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3].[Target].[All]}"/>
  </metadataStrings>
  <mdxMetadata count="1">
    <mdx n="0" f="s">
      <ms ns="1" c="0"/>
    </mdx>
  </mdxMetadata>
  <valueMetadata count="1">
    <bk>
      <rc t="1" v="0"/>
    </bk>
  </valueMetadata>
</metadata>
</file>

<file path=xl/sharedStrings.xml><?xml version="1.0" encoding="utf-8"?>
<sst xmlns="http://schemas.openxmlformats.org/spreadsheetml/2006/main" count="1395" uniqueCount="148">
  <si>
    <t>Order ID</t>
  </si>
  <si>
    <t>Order Date</t>
  </si>
  <si>
    <t>Product</t>
  </si>
  <si>
    <t>Category</t>
  </si>
  <si>
    <t>Region</t>
  </si>
  <si>
    <t>Sales Amount</t>
  </si>
  <si>
    <t>Quantity</t>
  </si>
  <si>
    <t>Customer Name</t>
  </si>
  <si>
    <t>Salesperson</t>
  </si>
  <si>
    <t>ORD1013</t>
  </si>
  <si>
    <t>Monitor</t>
  </si>
  <si>
    <t>Electronics</t>
  </si>
  <si>
    <t>North</t>
  </si>
  <si>
    <t>Customer 3</t>
  </si>
  <si>
    <t>Sophia</t>
  </si>
  <si>
    <t>ORD1039</t>
  </si>
  <si>
    <t>Laptop</t>
  </si>
  <si>
    <t>East</t>
  </si>
  <si>
    <t>Customer 18</t>
  </si>
  <si>
    <t>Robert</t>
  </si>
  <si>
    <t>ORD1030</t>
  </si>
  <si>
    <t>South</t>
  </si>
  <si>
    <t>Customer 14</t>
  </si>
  <si>
    <t>John</t>
  </si>
  <si>
    <t>ORD1045</t>
  </si>
  <si>
    <t>Printer</t>
  </si>
  <si>
    <t>Accessories</t>
  </si>
  <si>
    <t>ORD1017</t>
  </si>
  <si>
    <t>Customer 2</t>
  </si>
  <si>
    <t>ORD1048</t>
  </si>
  <si>
    <t>Mouse</t>
  </si>
  <si>
    <t>ORD1026</t>
  </si>
  <si>
    <t>West</t>
  </si>
  <si>
    <t>Customer 16</t>
  </si>
  <si>
    <t>ORD1025</t>
  </si>
  <si>
    <t>Customer 9</t>
  </si>
  <si>
    <t>ORD1032</t>
  </si>
  <si>
    <t>Customer 4</t>
  </si>
  <si>
    <t>ORD1019</t>
  </si>
  <si>
    <t>Customer 1</t>
  </si>
  <si>
    <t>ORD1012</t>
  </si>
  <si>
    <t>Keyboard</t>
  </si>
  <si>
    <t>Alice</t>
  </si>
  <si>
    <t>ORD1004</t>
  </si>
  <si>
    <t>ORD1037</t>
  </si>
  <si>
    <t>ORD1008</t>
  </si>
  <si>
    <t>ORD1003</t>
  </si>
  <si>
    <t>Customer 20</t>
  </si>
  <si>
    <t>ORD1006</t>
  </si>
  <si>
    <t>Customer 8</t>
  </si>
  <si>
    <t>ORD1041</t>
  </si>
  <si>
    <t>Customer 7</t>
  </si>
  <si>
    <t>ORD1046</t>
  </si>
  <si>
    <t>ORD1047</t>
  </si>
  <si>
    <t>Customer 17</t>
  </si>
  <si>
    <t>ORD1015</t>
  </si>
  <si>
    <t>ORD1009</t>
  </si>
  <si>
    <t>ORD1016</t>
  </si>
  <si>
    <t>Customer 12</t>
  </si>
  <si>
    <t>ORD1024</t>
  </si>
  <si>
    <t>Customer 19</t>
  </si>
  <si>
    <t>ORD1034</t>
  </si>
  <si>
    <t>ORD1031</t>
  </si>
  <si>
    <t>Customer 6</t>
  </si>
  <si>
    <t>ORD1000</t>
  </si>
  <si>
    <t>ORD1044</t>
  </si>
  <si>
    <t>Customer 13</t>
  </si>
  <si>
    <t>ORD1027</t>
  </si>
  <si>
    <t>ORD1033</t>
  </si>
  <si>
    <t>ORD1005</t>
  </si>
  <si>
    <t>ORD1029</t>
  </si>
  <si>
    <t>ORD1011</t>
  </si>
  <si>
    <t>Customer 15</t>
  </si>
  <si>
    <t>ORD1036</t>
  </si>
  <si>
    <t>ORD1001</t>
  </si>
  <si>
    <t>Customer 5</t>
  </si>
  <si>
    <t>ORD1021</t>
  </si>
  <si>
    <t>ORD1002</t>
  </si>
  <si>
    <t>ORD1043</t>
  </si>
  <si>
    <t>ORD1035</t>
  </si>
  <si>
    <t>ORD1023</t>
  </si>
  <si>
    <t>ORD1040</t>
  </si>
  <si>
    <t>ORD1010</t>
  </si>
  <si>
    <t>ORD1022</t>
  </si>
  <si>
    <t>ORD1018</t>
  </si>
  <si>
    <t>ORD1049</t>
  </si>
  <si>
    <t>ORD1020</t>
  </si>
  <si>
    <t>ORD1007</t>
  </si>
  <si>
    <t>ORD1042</t>
  </si>
  <si>
    <t>ORD1014</t>
  </si>
  <si>
    <t>ORD1028</t>
  </si>
  <si>
    <t>ORD1038</t>
  </si>
  <si>
    <t>Imputation Of Blank &amp; N/A</t>
  </si>
  <si>
    <t>"Region" blank fill with mode after sort by ascending</t>
  </si>
  <si>
    <t>"Sales Amount" N/A fill with average</t>
  </si>
  <si>
    <t>Change the "Order Date" type</t>
  </si>
  <si>
    <t>Row Labels</t>
  </si>
  <si>
    <t>Grand Total</t>
  </si>
  <si>
    <t>Sum of Sales Amount</t>
  </si>
  <si>
    <t>Column Labels</t>
  </si>
  <si>
    <t>Total Sales Amount</t>
  </si>
  <si>
    <t>Total Quantity Sold</t>
  </si>
  <si>
    <t>Count of Order ID</t>
  </si>
  <si>
    <t>Sum of Quantity</t>
  </si>
  <si>
    <t>Quantity Sold</t>
  </si>
  <si>
    <t>1. Metrics (KPIs)</t>
  </si>
  <si>
    <t>Shows the total number of products sold.</t>
  </si>
  <si>
    <t>Indicates the total number of orders placed.</t>
  </si>
  <si>
    <t>Highlights best-selling items for strategic insight.</t>
  </si>
  <si>
    <t>Helps track growth patterns and performance over time.</t>
  </si>
  <si>
    <t>Shows each product category’s percentage share of total sales.</t>
  </si>
  <si>
    <t>Offers a quick view of revenue contribution by category.</t>
  </si>
  <si>
    <t>Useful for geographic and individual performance comparison.</t>
  </si>
  <si>
    <t>Allows users to filter the entire dashboard by region.</t>
  </si>
  <si>
    <t>Enables focused analysis of geographic sales performance.</t>
  </si>
  <si>
    <t>Filters all visuals by product type.</t>
  </si>
  <si>
    <t>Useful for narrowing insights to specific product categories.</t>
  </si>
  <si>
    <t>Represents the total sales generated from all sales.</t>
  </si>
  <si>
    <t xml:space="preserve"> 2. Charts</t>
  </si>
  <si>
    <t>Displays total sales per product  in ascending order.</t>
  </si>
  <si>
    <t>Sales Over Time (Line Chart)</t>
  </si>
  <si>
    <t>Visualizes periodic sales trends based on order date.</t>
  </si>
  <si>
    <t>Sales Distribution By Category (Pie Chart)</t>
  </si>
  <si>
    <t>Sales by Region &amp; Salesperson (Table)</t>
  </si>
  <si>
    <t>Tabular summary of sales performance by region and salesperson.</t>
  </si>
  <si>
    <t>Region Slicer</t>
  </si>
  <si>
    <t>Product Slicer</t>
  </si>
  <si>
    <t xml:space="preserve">3. Slicers </t>
  </si>
  <si>
    <t>Total Orders</t>
  </si>
  <si>
    <t>Top Selling Product</t>
  </si>
  <si>
    <t>Indicates that Mouse is top selling product.</t>
  </si>
  <si>
    <t>Sales by Product (Column Chart)</t>
  </si>
  <si>
    <t>Target</t>
  </si>
  <si>
    <t>IF Formula</t>
  </si>
  <si>
    <t>IFS Formula</t>
  </si>
  <si>
    <t>SUMIF Formula</t>
  </si>
  <si>
    <t>Sales Person</t>
  </si>
  <si>
    <t>Total</t>
  </si>
  <si>
    <r>
      <t xml:space="preserve">Comment:  </t>
    </r>
    <r>
      <rPr>
        <sz val="11"/>
        <color theme="1"/>
        <rFont val="Calibri"/>
        <family val="2"/>
      </rPr>
      <t>Sums sales amount for a specific salesperson.</t>
    </r>
  </si>
  <si>
    <t>COUNTIF Formula</t>
  </si>
  <si>
    <r>
      <rPr>
        <b/>
        <sz val="11"/>
        <color theme="1"/>
        <rFont val="Calibri"/>
        <family val="2"/>
      </rPr>
      <t xml:space="preserve">Comment: </t>
    </r>
    <r>
      <rPr>
        <sz val="11"/>
        <color theme="1"/>
        <rFont val="Calibri"/>
        <family val="2"/>
      </rPr>
      <t xml:space="preserve"> Count product types per salesperson.</t>
    </r>
  </si>
  <si>
    <r>
      <rPr>
        <b/>
        <sz val="11"/>
        <color theme="1"/>
        <rFont val="Calibri"/>
        <family val="2"/>
      </rPr>
      <t>Comment:</t>
    </r>
    <r>
      <rPr>
        <sz val="11"/>
        <color theme="1"/>
        <rFont val="Calibri"/>
        <family val="2"/>
      </rPr>
      <t xml:space="preserve"> The formula =IF(F2&gt;2000, "High Sales", "Low Sales") classifies sales as "High" if above 2000, otherwise as "Low". </t>
    </r>
  </si>
  <si>
    <r>
      <rPr>
        <b/>
        <sz val="11"/>
        <color theme="1"/>
        <rFont val="Calibri"/>
        <family val="2"/>
      </rPr>
      <t xml:space="preserve">Comment: </t>
    </r>
    <r>
      <rPr>
        <sz val="11"/>
        <color theme="1"/>
        <rFont val="Calibri"/>
        <family val="2"/>
      </rPr>
      <t>The formula classifies sales values as "High Sales" if greater than 2000, "Medium Sales" if between 1500–2000, and "Low Sales" if below 1500.</t>
    </r>
  </si>
  <si>
    <r>
      <t xml:space="preserve">Comment: </t>
    </r>
    <r>
      <rPr>
        <sz val="12"/>
        <color theme="1"/>
        <rFont val="Aptos Narrow"/>
        <family val="2"/>
        <scheme val="minor"/>
      </rPr>
      <t>I add data validation with dropdowns at "Category" and "Region".</t>
    </r>
  </si>
  <si>
    <t>All</t>
  </si>
  <si>
    <t>Which product was ordered in ORD1017, ORD1042, and ORD1044 ?</t>
  </si>
  <si>
    <t>VLOOKUP</t>
  </si>
  <si>
    <t>INDEX+MATCH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</si>
</sst>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6" x14ac:knownFonts="1">
    <font>
      <sz val="11"/>
      <color theme="1"/>
      <name val="Aptos Narrow"/>
      <family val="2"/>
      <scheme val="minor"/>
    </font>
    <font>
      <b/>
      <sz val="11"/>
      <color theme="1"/>
      <name val="Aptos Narrow"/>
      <family val="2"/>
      <scheme val="minor"/>
    </font>
    <font>
      <b/>
      <sz val="11"/>
      <color theme="0"/>
      <name val="Calibri"/>
      <family val="2"/>
    </font>
    <font>
      <sz val="11"/>
      <color theme="1"/>
      <name val="Calibri"/>
      <family val="2"/>
    </font>
    <font>
      <sz val="11"/>
      <color theme="1"/>
      <name val="Aptos Narrow"/>
      <family val="2"/>
      <scheme val="minor"/>
    </font>
    <font>
      <sz val="12"/>
      <color theme="1"/>
      <name val="Calibri"/>
      <family val="2"/>
    </font>
    <font>
      <b/>
      <sz val="18"/>
      <color theme="1"/>
      <name val="Calibri"/>
      <family val="2"/>
    </font>
    <font>
      <b/>
      <sz val="14"/>
      <color theme="1"/>
      <name val="Calibri"/>
      <family val="2"/>
    </font>
    <font>
      <sz val="14"/>
      <color theme="1"/>
      <name val="Calibri"/>
      <family val="2"/>
    </font>
    <font>
      <b/>
      <sz val="11"/>
      <color theme="1"/>
      <name val="Calibri"/>
      <family val="2"/>
    </font>
    <font>
      <b/>
      <sz val="14"/>
      <color theme="1"/>
      <name val="Aptos Narrow"/>
      <family val="2"/>
      <scheme val="minor"/>
    </font>
    <font>
      <sz val="12"/>
      <color theme="1"/>
      <name val="Aptos Narrow"/>
      <family val="2"/>
      <scheme val="minor"/>
    </font>
    <font>
      <b/>
      <sz val="12"/>
      <color theme="4"/>
      <name val="Calibri"/>
    </font>
    <font>
      <sz val="12"/>
      <color theme="1"/>
      <name val="Calibri"/>
    </font>
    <font>
      <b/>
      <sz val="11"/>
      <color theme="0"/>
      <name val="Aptos Narrow"/>
      <family val="2"/>
      <scheme val="minor"/>
    </font>
    <font>
      <sz val="11"/>
      <color theme="0"/>
      <name val="Aptos Narrow"/>
      <family val="2"/>
      <scheme val="minor"/>
    </font>
  </fonts>
  <fills count="7">
    <fill>
      <patternFill patternType="none"/>
    </fill>
    <fill>
      <patternFill patternType="gray125"/>
    </fill>
    <fill>
      <patternFill patternType="solid">
        <fgColor theme="7"/>
        <bgColor theme="7"/>
      </patternFill>
    </fill>
    <fill>
      <patternFill patternType="solid">
        <fgColor theme="2"/>
        <bgColor indexed="64"/>
      </patternFill>
    </fill>
    <fill>
      <patternFill patternType="solid">
        <fgColor theme="0"/>
        <bgColor indexed="64"/>
      </patternFill>
    </fill>
    <fill>
      <patternFill patternType="solid">
        <fgColor theme="0"/>
        <bgColor theme="7"/>
      </patternFill>
    </fill>
    <fill>
      <patternFill patternType="solid">
        <fgColor theme="7"/>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indexed="64"/>
      </right>
      <top style="thin">
        <color indexed="64"/>
      </top>
      <bottom style="thin">
        <color indexed="64"/>
      </bottom>
      <diagonal/>
    </border>
    <border>
      <left style="thin">
        <color theme="8"/>
      </left>
      <right/>
      <top style="thin">
        <color auto="1"/>
      </top>
      <bottom/>
      <diagonal/>
    </border>
    <border>
      <left style="thin">
        <color indexed="64"/>
      </left>
      <right style="thin">
        <color indexed="64"/>
      </right>
      <top style="thin">
        <color auto="1"/>
      </top>
      <bottom/>
      <diagonal/>
    </border>
    <border>
      <left style="thin">
        <color theme="8"/>
      </left>
      <right/>
      <top/>
      <bottom/>
      <diagonal/>
    </border>
    <border>
      <left style="thin">
        <color indexed="64"/>
      </left>
      <right style="thin">
        <color indexed="64"/>
      </right>
      <top/>
      <bottom/>
      <diagonal/>
    </border>
    <border>
      <left/>
      <right style="thin">
        <color theme="8"/>
      </right>
      <top/>
      <bottom/>
      <diagonal/>
    </border>
    <border>
      <left/>
      <right style="thin">
        <color theme="8"/>
      </right>
      <top style="thin">
        <color auto="1"/>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
      <left style="thin">
        <color auto="1"/>
      </left>
      <right style="thin">
        <color auto="1"/>
      </right>
      <top style="thin">
        <color theme="7"/>
      </top>
      <bottom style="thin">
        <color auto="1"/>
      </bottom>
      <diagonal/>
    </border>
  </borders>
  <cellStyleXfs count="4">
    <xf numFmtId="0" fontId="0" fillId="0" borderId="0"/>
    <xf numFmtId="44" fontId="4" fillId="0" borderId="0" applyFont="0" applyFill="0" applyBorder="0" applyAlignment="0" applyProtection="0"/>
    <xf numFmtId="43" fontId="4" fillId="0" borderId="0" applyFont="0" applyFill="0" applyBorder="0" applyAlignment="0" applyProtection="0"/>
    <xf numFmtId="0" fontId="15" fillId="6" borderId="0" applyNumberFormat="0" applyBorder="0" applyAlignment="0" applyProtection="0"/>
  </cellStyleXfs>
  <cellXfs count="106">
    <xf numFmtId="0" fontId="0" fillId="0" borderId="0" xfId="0"/>
    <xf numFmtId="0" fontId="1" fillId="0" borderId="2" xfId="0" applyFont="1" applyBorder="1" applyAlignment="1">
      <alignment horizontal="center" vertical="top"/>
    </xf>
    <xf numFmtId="0" fontId="3" fillId="0" borderId="0" xfId="0" applyFont="1" applyAlignment="1">
      <alignment horizontal="left"/>
    </xf>
    <xf numFmtId="0" fontId="3" fillId="0" borderId="7" xfId="0" applyFont="1" applyBorder="1"/>
    <xf numFmtId="0" fontId="3" fillId="0" borderId="0" xfId="0" applyFont="1"/>
    <xf numFmtId="0" fontId="3" fillId="0" borderId="9" xfId="0" applyFont="1" applyBorder="1"/>
    <xf numFmtId="14" fontId="1" fillId="0" borderId="2"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0" fillId="0" borderId="0" xfId="0" applyNumberFormat="1" applyAlignment="1">
      <alignment horizontal="left"/>
    </xf>
    <xf numFmtId="0" fontId="3" fillId="3" borderId="0" xfId="0" applyFont="1" applyFill="1"/>
    <xf numFmtId="0" fontId="3" fillId="3" borderId="0" xfId="0" applyFont="1" applyFill="1" applyAlignment="1">
      <alignment horizontal="right"/>
    </xf>
    <xf numFmtId="44" fontId="3" fillId="3" borderId="0" xfId="1" applyFont="1" applyFill="1"/>
    <xf numFmtId="0" fontId="5" fillId="3" borderId="0" xfId="0" applyFont="1" applyFill="1"/>
    <xf numFmtId="0" fontId="0" fillId="0" borderId="1" xfId="0" applyBorder="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8" fillId="0" borderId="0" xfId="0" applyFont="1"/>
    <xf numFmtId="0" fontId="9" fillId="0" borderId="0" xfId="0" applyFont="1" applyAlignment="1">
      <alignment horizontal="left" vertical="top"/>
    </xf>
    <xf numFmtId="0" fontId="3" fillId="0" borderId="20" xfId="0" applyFont="1" applyBorder="1"/>
    <xf numFmtId="14" fontId="3" fillId="0" borderId="3" xfId="0" applyNumberFormat="1" applyFont="1" applyBorder="1"/>
    <xf numFmtId="0" fontId="3" fillId="0" borderId="3" xfId="0" applyFont="1" applyBorder="1"/>
    <xf numFmtId="165" fontId="3" fillId="0" borderId="3" xfId="2" applyNumberFormat="1" applyFont="1" applyBorder="1"/>
    <xf numFmtId="0" fontId="3" fillId="0" borderId="21" xfId="0" applyFont="1" applyBorder="1"/>
    <xf numFmtId="0" fontId="9" fillId="0" borderId="6" xfId="0" applyFont="1" applyBorder="1" applyAlignment="1">
      <alignment horizontal="left" vertical="top"/>
    </xf>
    <xf numFmtId="0" fontId="9" fillId="0" borderId="7" xfId="0" applyFont="1" applyBorder="1" applyAlignment="1">
      <alignment horizontal="left" vertical="top"/>
    </xf>
    <xf numFmtId="0" fontId="3" fillId="0" borderId="22" xfId="0" applyFont="1" applyBorder="1"/>
    <xf numFmtId="14" fontId="3" fillId="0" borderId="0" xfId="0" applyNumberFormat="1" applyFont="1"/>
    <xf numFmtId="165" fontId="3" fillId="0" borderId="0" xfId="2" applyNumberFormat="1" applyFont="1" applyBorder="1"/>
    <xf numFmtId="0" fontId="3" fillId="0" borderId="23" xfId="0" applyFont="1" applyBorder="1"/>
    <xf numFmtId="0" fontId="3" fillId="0" borderId="8" xfId="0" applyFont="1" applyBorder="1"/>
    <xf numFmtId="0" fontId="9" fillId="0" borderId="4" xfId="0" applyFont="1" applyBorder="1"/>
    <xf numFmtId="0" fontId="9" fillId="0" borderId="19" xfId="0" applyFont="1" applyBorder="1"/>
    <xf numFmtId="0" fontId="9" fillId="0" borderId="3" xfId="0" applyFont="1" applyBorder="1"/>
    <xf numFmtId="0" fontId="9" fillId="0" borderId="7" xfId="0" applyFont="1" applyBorder="1"/>
    <xf numFmtId="0" fontId="9" fillId="0" borderId="5" xfId="0" applyFont="1" applyBorder="1"/>
    <xf numFmtId="0" fontId="3" fillId="0" borderId="2" xfId="0" applyFont="1" applyBorder="1"/>
    <xf numFmtId="0" fontId="3" fillId="0" borderId="12" xfId="0" applyFont="1" applyBorder="1"/>
    <xf numFmtId="0" fontId="3" fillId="0" borderId="0" xfId="0" applyFont="1" applyAlignment="1">
      <alignment vertical="top"/>
    </xf>
    <xf numFmtId="0" fontId="3" fillId="0" borderId="1" xfId="0" applyFont="1" applyBorder="1" applyAlignment="1">
      <alignment vertical="top" wrapText="1"/>
    </xf>
    <xf numFmtId="165" fontId="3" fillId="0" borderId="0" xfId="2" applyNumberFormat="1" applyFont="1"/>
    <xf numFmtId="0" fontId="0" fillId="0" borderId="1" xfId="0" applyBorder="1"/>
    <xf numFmtId="0" fontId="12" fillId="4" borderId="13" xfId="0" applyFont="1" applyFill="1" applyBorder="1" applyAlignment="1">
      <alignment horizontal="left"/>
    </xf>
    <xf numFmtId="0" fontId="12" fillId="4" borderId="14" xfId="0" applyFont="1" applyFill="1" applyBorder="1" applyAlignment="1">
      <alignment horizontal="left"/>
    </xf>
    <xf numFmtId="0" fontId="12" fillId="4" borderId="17" xfId="0" applyFont="1" applyFill="1" applyBorder="1" applyAlignment="1">
      <alignment horizontal="left"/>
    </xf>
    <xf numFmtId="0" fontId="12" fillId="4" borderId="18" xfId="0" applyFont="1" applyFill="1" applyBorder="1" applyAlignment="1">
      <alignment horizontal="center"/>
    </xf>
    <xf numFmtId="0" fontId="12" fillId="4" borderId="17" xfId="0" applyFont="1" applyFill="1" applyBorder="1" applyAlignment="1">
      <alignment horizontal="center"/>
    </xf>
    <xf numFmtId="0" fontId="13" fillId="4" borderId="13" xfId="0" applyFont="1" applyFill="1" applyBorder="1"/>
    <xf numFmtId="0" fontId="13" fillId="4" borderId="15" xfId="0" applyFont="1" applyFill="1" applyBorder="1"/>
    <xf numFmtId="0" fontId="13" fillId="4" borderId="14" xfId="0" applyFont="1" applyFill="1" applyBorder="1" applyAlignment="1">
      <alignment horizontal="left" indent="1"/>
    </xf>
    <xf numFmtId="0" fontId="13" fillId="4" borderId="14" xfId="0" applyFont="1" applyFill="1" applyBorder="1" applyAlignment="1">
      <alignment horizontal="center"/>
    </xf>
    <xf numFmtId="0" fontId="13" fillId="4" borderId="16" xfId="0" applyFont="1" applyFill="1" applyBorder="1" applyAlignment="1">
      <alignment horizontal="center"/>
    </xf>
    <xf numFmtId="0" fontId="13" fillId="4" borderId="14" xfId="0" applyFont="1" applyFill="1" applyBorder="1"/>
    <xf numFmtId="0" fontId="13" fillId="4" borderId="16" xfId="0" applyFont="1" applyFill="1" applyBorder="1"/>
    <xf numFmtId="0" fontId="12" fillId="4" borderId="15" xfId="0" applyFont="1" applyFill="1" applyBorder="1" applyAlignment="1">
      <alignment horizontal="center" vertical="center"/>
    </xf>
    <xf numFmtId="0" fontId="12" fillId="4" borderId="13" xfId="0" applyFont="1" applyFill="1" applyBorder="1" applyAlignment="1">
      <alignment horizontal="center" vertical="center"/>
    </xf>
    <xf numFmtId="0" fontId="12" fillId="4" borderId="13" xfId="0" applyFont="1" applyFill="1" applyBorder="1" applyAlignment="1">
      <alignment horizontal="left" vertical="center"/>
    </xf>
    <xf numFmtId="0" fontId="3" fillId="0" borderId="25" xfId="0" applyFont="1" applyBorder="1"/>
    <xf numFmtId="0" fontId="3" fillId="0" borderId="24" xfId="0" applyFont="1" applyBorder="1"/>
    <xf numFmtId="165" fontId="0" fillId="0" borderId="0" xfId="0" applyNumberFormat="1"/>
    <xf numFmtId="0" fontId="1" fillId="0" borderId="0" xfId="0" applyFont="1"/>
    <xf numFmtId="0" fontId="9" fillId="5" borderId="6" xfId="0" applyFont="1" applyFill="1" applyBorder="1" applyAlignment="1">
      <alignment horizontal="left" vertical="top"/>
    </xf>
    <xf numFmtId="0" fontId="1" fillId="0" borderId="3" xfId="0" applyFont="1" applyBorder="1"/>
    <xf numFmtId="0" fontId="1" fillId="0" borderId="7" xfId="0" applyFont="1" applyBorder="1"/>
    <xf numFmtId="0" fontId="0" fillId="0" borderId="8" xfId="0" applyBorder="1"/>
    <xf numFmtId="0" fontId="0" fillId="0" borderId="9" xfId="0" applyBorder="1"/>
    <xf numFmtId="0" fontId="3" fillId="0" borderId="10" xfId="0" applyFont="1" applyBorder="1"/>
    <xf numFmtId="0" fontId="0" fillId="0" borderId="11" xfId="0" applyBorder="1"/>
    <xf numFmtId="0" fontId="0" fillId="0" borderId="12" xfId="0" applyBorder="1"/>
    <xf numFmtId="0" fontId="3" fillId="0" borderId="26" xfId="0" applyFont="1" applyBorder="1"/>
    <xf numFmtId="14" fontId="3" fillId="0" borderId="27" xfId="0" applyNumberFormat="1" applyFont="1" applyBorder="1"/>
    <xf numFmtId="0" fontId="3" fillId="0" borderId="27" xfId="0" applyFont="1" applyBorder="1"/>
    <xf numFmtId="165" fontId="3" fillId="0" borderId="27" xfId="2" applyNumberFormat="1" applyFont="1" applyBorder="1"/>
    <xf numFmtId="0" fontId="3" fillId="0" borderId="28" xfId="0" applyFont="1" applyBorder="1"/>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3" fillId="0" borderId="6" xfId="0" applyFont="1" applyBorder="1" applyAlignment="1">
      <alignment horizontal="left"/>
    </xf>
    <xf numFmtId="0" fontId="3" fillId="0" borderId="3" xfId="0" applyFont="1" applyBorder="1" applyAlignment="1">
      <alignment horizontal="left"/>
    </xf>
    <xf numFmtId="0" fontId="3" fillId="0" borderId="8" xfId="0" applyFont="1" applyBorder="1" applyAlignment="1">
      <alignment horizontal="left"/>
    </xf>
    <xf numFmtId="0" fontId="3" fillId="0" borderId="0" xfId="0" applyFont="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0" fontId="3" fillId="0" borderId="1" xfId="0" applyFont="1" applyBorder="1" applyAlignment="1">
      <alignment horizontal="left"/>
    </xf>
    <xf numFmtId="0" fontId="9" fillId="0" borderId="1" xfId="0" applyFont="1" applyBorder="1" applyAlignment="1">
      <alignment horizontal="left"/>
    </xf>
    <xf numFmtId="0" fontId="10" fillId="0" borderId="1" xfId="0" applyFont="1" applyBorder="1"/>
    <xf numFmtId="0" fontId="14" fillId="2" borderId="29" xfId="0" applyFont="1" applyFill="1" applyBorder="1" applyAlignment="1">
      <alignment horizontal="center" vertical="top"/>
    </xf>
    <xf numFmtId="0" fontId="14" fillId="6" borderId="4" xfId="3" applyFont="1" applyBorder="1" applyAlignment="1">
      <alignment horizontal="left" vertical="top"/>
    </xf>
    <xf numFmtId="0" fontId="14" fillId="6" borderId="19" xfId="3" applyFont="1" applyBorder="1" applyAlignment="1">
      <alignment horizontal="left" vertical="top"/>
    </xf>
    <xf numFmtId="0" fontId="14" fillId="6" borderId="5" xfId="3" applyFont="1" applyBorder="1" applyAlignment="1">
      <alignment horizontal="left" vertical="top"/>
    </xf>
    <xf numFmtId="0" fontId="0" fillId="0" borderId="0" xfId="0" applyBorder="1" applyAlignment="1">
      <alignment horizontal="left" vertical="center"/>
    </xf>
    <xf numFmtId="0" fontId="14" fillId="6" borderId="6" xfId="3" applyFont="1" applyBorder="1" applyAlignment="1">
      <alignment horizontal="left" vertical="top"/>
    </xf>
    <xf numFmtId="14" fontId="14" fillId="6" borderId="6" xfId="3" applyNumberFormat="1" applyFont="1" applyBorder="1" applyAlignment="1">
      <alignment horizontal="left" vertical="top"/>
    </xf>
    <xf numFmtId="165" fontId="14" fillId="6" borderId="6" xfId="3" applyNumberFormat="1" applyFont="1" applyBorder="1" applyAlignment="1">
      <alignment horizontal="left" vertical="top"/>
    </xf>
    <xf numFmtId="0" fontId="14" fillId="6" borderId="21" xfId="3" applyFont="1" applyBorder="1" applyAlignment="1">
      <alignment horizontal="left" vertical="top"/>
    </xf>
    <xf numFmtId="0" fontId="9" fillId="0" borderId="2" xfId="0" applyFont="1" applyBorder="1" applyAlignment="1">
      <alignment horizontal="center" vertical="top"/>
    </xf>
    <xf numFmtId="14" fontId="9" fillId="0" borderId="2" xfId="0" applyNumberFormat="1" applyFont="1" applyBorder="1" applyAlignment="1">
      <alignment horizontal="center" vertical="top"/>
    </xf>
    <xf numFmtId="165" fontId="9" fillId="0" borderId="2" xfId="2" applyNumberFormat="1" applyFont="1" applyBorder="1" applyAlignment="1">
      <alignment horizontal="center" vertical="top"/>
    </xf>
    <xf numFmtId="0" fontId="0" fillId="0" borderId="0" xfId="0" applyAlignment="1">
      <alignment horizontal="center"/>
    </xf>
    <xf numFmtId="0" fontId="14" fillId="6" borderId="1" xfId="3" applyFont="1" applyBorder="1" applyAlignment="1">
      <alignment horizontal="left"/>
    </xf>
    <xf numFmtId="0" fontId="3" fillId="0" borderId="0" xfId="0" applyFont="1" applyBorder="1"/>
    <xf numFmtId="0" fontId="0" fillId="0" borderId="0" xfId="0" applyBorder="1"/>
    <xf numFmtId="0" fontId="3" fillId="0" borderId="0" xfId="0" applyFont="1" applyBorder="1" applyAlignment="1">
      <alignment horizontal="left"/>
    </xf>
  </cellXfs>
  <cellStyles count="4">
    <cellStyle name="Accent4" xfId="3" builtinId="41"/>
    <cellStyle name="Comma" xfId="2" builtinId="3"/>
    <cellStyle name="Currency" xfId="1" builtinId="4"/>
    <cellStyle name="Normal" xfId="0" builtinId="0"/>
  </cellStyles>
  <dxfs count="163">
    <dxf>
      <fill>
        <patternFill>
          <bgColor theme="9" tint="0.59996337778862885"/>
        </patternFill>
      </fill>
    </dxf>
    <dxf>
      <fill>
        <patternFill>
          <bgColor theme="5"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5" tint="0.59996337778862885"/>
        </patternFill>
      </fill>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alignment horizontal="left"/>
    </dxf>
    <dxf>
      <alignment vertical="center"/>
    </dxf>
    <dxf>
      <alignment horizontal="center"/>
    </dxf>
    <dxf>
      <alignment vertical="center"/>
    </dxf>
    <dxf>
      <alignment vertic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color theme="4"/>
      </font>
    </dxf>
    <dxf>
      <font>
        <color theme="4"/>
      </font>
    </dxf>
    <dxf>
      <font>
        <sz val="12"/>
      </font>
    </dxf>
    <dxf>
      <font>
        <sz val="12"/>
      </font>
    </dxf>
    <dxf>
      <font>
        <name val="Calibri"/>
        <scheme val="none"/>
      </font>
    </dxf>
    <dxf>
      <font>
        <name val="Calibri"/>
        <scheme val="none"/>
      </font>
    </dxf>
    <dxf>
      <font>
        <b/>
      </font>
    </dxf>
    <dxf>
      <font>
        <b/>
      </font>
    </dxf>
    <dxf>
      <font>
        <name val="Calibri"/>
        <scheme val="none"/>
      </font>
    </dxf>
    <dxf>
      <font>
        <name val="Calibri"/>
        <scheme val="none"/>
      </font>
    </dxf>
    <dxf>
      <font>
        <color theme="4"/>
      </font>
    </dxf>
    <dxf>
      <font>
        <color theme="4"/>
      </font>
    </dxf>
    <dxf>
      <font>
        <b/>
      </font>
    </dxf>
    <dxf>
      <font>
        <b/>
      </font>
    </dxf>
    <dxf>
      <font>
        <sz val="12"/>
      </font>
    </dxf>
    <dxf>
      <font>
        <sz val="12"/>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bri"/>
        <scheme val="none"/>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color theme="4"/>
      </font>
    </dxf>
    <dxf>
      <font>
        <color theme="4"/>
      </font>
    </dxf>
    <dxf>
      <font>
        <color theme="4"/>
      </font>
    </dxf>
    <dxf>
      <font>
        <color theme="4"/>
      </font>
    </dxf>
    <dxf>
      <font>
        <color theme="4"/>
      </font>
    </dxf>
    <dxf>
      <font>
        <color theme="4"/>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numFmt numFmtId="164" formatCode="_(&quot;$&quot;* #,##0_);_(&quot;$&quot;* \(#,##0\);_(&quot;$&quot;* &quot;-&quot;??_);_(@_)"/>
    </dxf>
    <dxf>
      <alignment vertical="center"/>
    </dxf>
    <dxf>
      <alignment horizontal="cent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_(* \(#,##0\);_(* &quot;-&quot;??_);_(@_)"/>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165" formatCode="_(* #,##0_);_(* \(#,##0\);_(* &quot;-&quot;??_);_(@_)"/>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border outline="0">
        <top style="thin">
          <color auto="1"/>
        </top>
      </border>
    </dxf>
    <dxf>
      <font>
        <strike val="0"/>
        <outline val="0"/>
        <shadow val="0"/>
        <u val="none"/>
        <vertAlign val="baseline"/>
        <sz val="11"/>
        <color theme="1"/>
        <name val="Calibri"/>
        <family val="2"/>
        <scheme val="none"/>
      </font>
    </dxf>
    <dxf>
      <border outline="0">
        <bottom style="thin">
          <color auto="1"/>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border diagonalUp="0" diagonalDown="0">
        <left/>
        <right style="thin">
          <color theme="8"/>
        </right>
        <top/>
        <bottom/>
        <vertical/>
        <horizontal/>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5" formatCode="_(* #,##0_);_(* \(#,##0\);_(* &quot;-&quot;??_);_(@_)"/>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border diagonalUp="0" diagonalDown="0">
        <left style="thin">
          <color theme="8"/>
        </left>
        <right/>
        <top/>
        <bottom/>
        <vertical/>
        <horizontal/>
      </border>
    </dxf>
    <dxf>
      <border outline="0">
        <bottom style="thin">
          <color theme="8"/>
        </bottom>
      </border>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F455D"/>
      <color rgb="FF166588"/>
      <color rgb="FF0E4056"/>
      <color rgb="FF1A759E"/>
      <color rgb="FF135573"/>
      <color rgb="FF000000"/>
      <color rgb="FF0606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91-4256-819D-3A15D505B3D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91-4256-819D-3A15D505B3D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91-4256-819D-3A15D505B3D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691-4256-819D-3A15D505B3D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691-4256-819D-3A15D505B3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Keyboard</c:v>
              </c:pt>
              <c:pt idx="1">
                <c:v>Laptop</c:v>
              </c:pt>
              <c:pt idx="2">
                <c:v>Monitor</c:v>
              </c:pt>
              <c:pt idx="3">
                <c:v>Mouse</c:v>
              </c:pt>
              <c:pt idx="4">
                <c:v>Printer</c:v>
              </c:pt>
            </c:strLit>
          </c:cat>
          <c:val>
            <c:numLit>
              <c:formatCode>General</c:formatCode>
              <c:ptCount val="5"/>
              <c:pt idx="0">
                <c:v>14570</c:v>
              </c:pt>
              <c:pt idx="1">
                <c:v>25712</c:v>
              </c:pt>
              <c:pt idx="2">
                <c:v>31332</c:v>
              </c:pt>
              <c:pt idx="3">
                <c:v>37823</c:v>
              </c:pt>
              <c:pt idx="4">
                <c:v>30863</c:v>
              </c:pt>
            </c:numLit>
          </c:val>
          <c:extLst>
            <c:ext xmlns:c16="http://schemas.microsoft.com/office/drawing/2014/chart" uri="{C3380CC4-5D6E-409C-BE32-E72D297353CC}">
              <c16:uniqueId val="{0000000A-D691-4256-819D-3A15D505B3D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 - Copy.xlsx]Pivot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Calibri" panose="020F0502020204030204" pitchFamily="34" charset="0"/>
                <a:cs typeface="Calibri" panose="020F0502020204030204" pitchFamily="34" charset="0"/>
              </a:rPr>
              <a:t>Sales Distribution by Category</a:t>
            </a:r>
          </a:p>
        </c:rich>
      </c:tx>
      <c:layout>
        <c:manualLayout>
          <c:xMode val="edge"/>
          <c:yMode val="edge"/>
          <c:x val="0.11340025110653144"/>
          <c:y val="1.2254730494835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F455D"/>
          </a:solidFill>
          <a:ln w="19050">
            <a:solidFill>
              <a:schemeClr val="lt1"/>
            </a:solidFill>
          </a:ln>
          <a:effectLst/>
        </c:spPr>
        <c:dLbl>
          <c:idx val="0"/>
          <c:layout>
            <c:manualLayout>
              <c:x val="-0.23307569001579875"/>
              <c:y val="0.143099445760397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857851272212876"/>
                  <c:h val="0.20253715336580277"/>
                </c:manualLayout>
              </c15:layout>
            </c:ext>
          </c:extLst>
        </c:dLbl>
      </c:pivotFmt>
      <c:pivotFmt>
        <c:idx val="6"/>
        <c:spPr>
          <a:solidFill>
            <a:schemeClr val="accent1"/>
          </a:solidFill>
          <a:ln w="19050">
            <a:solidFill>
              <a:schemeClr val="lt1"/>
            </a:solidFill>
          </a:ln>
          <a:effectLst/>
        </c:spPr>
        <c:dLbl>
          <c:idx val="0"/>
          <c:layout>
            <c:manualLayout>
              <c:x val="0.13206678089943899"/>
              <c:y val="-0.1570772634890301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141260849941214"/>
                  <c:h val="0.30639269810820402"/>
                </c:manualLayout>
              </c15:layout>
            </c:ext>
          </c:extLst>
        </c:dLbl>
      </c:pivotFmt>
    </c:pivotFmts>
    <c:plotArea>
      <c:layout>
        <c:manualLayout>
          <c:layoutTarget val="inner"/>
          <c:xMode val="edge"/>
          <c:yMode val="edge"/>
          <c:x val="0.19305159230588773"/>
          <c:y val="0.19795495527743054"/>
          <c:w val="0.55456314411960894"/>
          <c:h val="0.77252596400717555"/>
        </c:manualLayout>
      </c:layout>
      <c:pieChart>
        <c:varyColors val="1"/>
        <c:ser>
          <c:idx val="0"/>
          <c:order val="0"/>
          <c:tx>
            <c:strRef>
              <c:f>'Pivot Tables'!$M$9</c:f>
              <c:strCache>
                <c:ptCount val="1"/>
                <c:pt idx="0">
                  <c:v>Total</c:v>
                </c:pt>
              </c:strCache>
            </c:strRef>
          </c:tx>
          <c:dPt>
            <c:idx val="0"/>
            <c:bubble3D val="0"/>
            <c:spPr>
              <a:solidFill>
                <a:srgbClr val="0F455D"/>
              </a:solidFill>
              <a:ln w="19050">
                <a:solidFill>
                  <a:schemeClr val="lt1"/>
                </a:solidFill>
              </a:ln>
              <a:effectLst/>
            </c:spPr>
            <c:extLst>
              <c:ext xmlns:c16="http://schemas.microsoft.com/office/drawing/2014/chart" uri="{C3380CC4-5D6E-409C-BE32-E72D297353CC}">
                <c16:uniqueId val="{00000001-869C-4525-B650-DED9BACD864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69C-4525-B650-DED9BACD864D}"/>
              </c:ext>
            </c:extLst>
          </c:dPt>
          <c:dLbls>
            <c:dLbl>
              <c:idx val="0"/>
              <c:layout>
                <c:manualLayout>
                  <c:x val="-0.23307569001579875"/>
                  <c:y val="0.1430994457603972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857851272212876"/>
                      <c:h val="0.20253715336580277"/>
                    </c:manualLayout>
                  </c15:layout>
                </c:ext>
                <c:ext xmlns:c16="http://schemas.microsoft.com/office/drawing/2014/chart" uri="{C3380CC4-5D6E-409C-BE32-E72D297353CC}">
                  <c16:uniqueId val="{00000001-869C-4525-B650-DED9BACD864D}"/>
                </c:ext>
              </c:extLst>
            </c:dLbl>
            <c:dLbl>
              <c:idx val="1"/>
              <c:layout>
                <c:manualLayout>
                  <c:x val="0.13206678089943899"/>
                  <c:y val="-0.1570772634890301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2141260849941214"/>
                      <c:h val="0.30639269810820402"/>
                    </c:manualLayout>
                  </c15:layout>
                </c:ext>
                <c:ext xmlns:c16="http://schemas.microsoft.com/office/drawing/2014/chart" uri="{C3380CC4-5D6E-409C-BE32-E72D297353CC}">
                  <c16:uniqueId val="{00000003-869C-4525-B650-DED9BACD864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Tables'!$L$10:$L$12</c:f>
              <c:strCache>
                <c:ptCount val="2"/>
                <c:pt idx="0">
                  <c:v>Accessories</c:v>
                </c:pt>
                <c:pt idx="1">
                  <c:v>Electronics</c:v>
                </c:pt>
              </c:strCache>
            </c:strRef>
          </c:cat>
          <c:val>
            <c:numRef>
              <c:f>'Pivot Tables'!$M$10:$M$12</c:f>
              <c:numCache>
                <c:formatCode>General</c:formatCode>
                <c:ptCount val="2"/>
                <c:pt idx="0">
                  <c:v>51066</c:v>
                </c:pt>
                <c:pt idx="1">
                  <c:v>89234</c:v>
                </c:pt>
              </c:numCache>
            </c:numRef>
          </c:val>
          <c:extLst>
            <c:ext xmlns:c16="http://schemas.microsoft.com/office/drawing/2014/chart" uri="{C3380CC4-5D6E-409C-BE32-E72D297353CC}">
              <c16:uniqueId val="{00000004-869C-4525-B650-DED9BACD864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 - Copy.xlsx]Pivot Tables!PivotTable5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accent1"/>
                </a:solidFill>
                <a:latin typeface="Calibri" panose="020F0502020204030204" pitchFamily="34" charset="0"/>
                <a:cs typeface="Calibri" panose="020F0502020204030204" pitchFamily="34" charset="0"/>
              </a:rPr>
              <a:t>Sales</a:t>
            </a:r>
            <a:r>
              <a:rPr lang="en-US" sz="1600" b="1" baseline="0">
                <a:solidFill>
                  <a:schemeClr val="accent1"/>
                </a:solidFill>
                <a:latin typeface="Calibri" panose="020F0502020204030204" pitchFamily="34" charset="0"/>
                <a:cs typeface="Calibri" panose="020F0502020204030204" pitchFamily="34" charset="0"/>
              </a:rPr>
              <a:t> By Product</a:t>
            </a:r>
            <a:endParaRPr lang="en-US" sz="1600" b="1">
              <a:solidFill>
                <a:schemeClr val="accent1"/>
              </a:solidFill>
              <a:latin typeface="Calibri" panose="020F0502020204030204" pitchFamily="34" charset="0"/>
              <a:cs typeface="Calibri" panose="020F0502020204030204" pitchFamily="34" charset="0"/>
            </a:endParaRPr>
          </a:p>
        </c:rich>
      </c:tx>
      <c:layout>
        <c:manualLayout>
          <c:xMode val="edge"/>
          <c:yMode val="edge"/>
          <c:x val="0.27949316918090156"/>
          <c:y val="4.6293798809737673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1109192098875"/>
          <c:y val="0.22326031045554603"/>
          <c:w val="0.81853320874887969"/>
          <c:h val="0.62855998926763623"/>
        </c:manualLayout>
      </c:layout>
      <c:barChart>
        <c:barDir val="col"/>
        <c:grouping val="clustered"/>
        <c:varyColors val="0"/>
        <c:ser>
          <c:idx val="0"/>
          <c:order val="0"/>
          <c:tx>
            <c:strRef>
              <c:f>'Pivot Tables'!$C$19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Tables'!$B$20:$B$25</c:f>
              <c:strCache>
                <c:ptCount val="5"/>
                <c:pt idx="0">
                  <c:v>Keyboard</c:v>
                </c:pt>
                <c:pt idx="1">
                  <c:v>Laptop</c:v>
                </c:pt>
                <c:pt idx="2">
                  <c:v>Printer</c:v>
                </c:pt>
                <c:pt idx="3">
                  <c:v>Monitor</c:v>
                </c:pt>
                <c:pt idx="4">
                  <c:v>Mouse</c:v>
                </c:pt>
              </c:strCache>
            </c:strRef>
          </c:cat>
          <c:val>
            <c:numRef>
              <c:f>'Pivot Tables'!$C$20:$C$25</c:f>
              <c:numCache>
                <c:formatCode>General</c:formatCode>
                <c:ptCount val="5"/>
                <c:pt idx="0">
                  <c:v>14570</c:v>
                </c:pt>
                <c:pt idx="1">
                  <c:v>25712</c:v>
                </c:pt>
                <c:pt idx="2">
                  <c:v>30863</c:v>
                </c:pt>
                <c:pt idx="3">
                  <c:v>31332</c:v>
                </c:pt>
                <c:pt idx="4">
                  <c:v>37823</c:v>
                </c:pt>
              </c:numCache>
            </c:numRef>
          </c:val>
          <c:extLst>
            <c:ext xmlns:c16="http://schemas.microsoft.com/office/drawing/2014/chart" uri="{C3380CC4-5D6E-409C-BE32-E72D297353CC}">
              <c16:uniqueId val="{00000000-7A9D-4CB9-A35F-B0818B2E74F1}"/>
            </c:ext>
          </c:extLst>
        </c:ser>
        <c:dLbls>
          <c:dLblPos val="outEnd"/>
          <c:showLegendKey val="0"/>
          <c:showVal val="1"/>
          <c:showCatName val="0"/>
          <c:showSerName val="0"/>
          <c:showPercent val="0"/>
          <c:showBubbleSize val="0"/>
        </c:dLbls>
        <c:gapWidth val="219"/>
        <c:overlap val="-27"/>
        <c:axId val="2018788688"/>
        <c:axId val="2018775248"/>
      </c:barChart>
      <c:catAx>
        <c:axId val="20187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18775248"/>
        <c:crosses val="autoZero"/>
        <c:auto val="1"/>
        <c:lblAlgn val="ctr"/>
        <c:lblOffset val="100"/>
        <c:noMultiLvlLbl val="0"/>
      </c:catAx>
      <c:valAx>
        <c:axId val="201877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1878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 - Copy.xlsx]Pivot Tables!PivotTable9</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600" b="1" i="0" u="none" strike="noStrike" kern="1200" spc="0" baseline="0">
                <a:solidFill>
                  <a:schemeClr val="accent1"/>
                </a:solidFill>
                <a:latin typeface="Calibri" panose="020F0502020204030204" pitchFamily="34" charset="0"/>
                <a:cs typeface="Calibri" panose="020F0502020204030204" pitchFamily="34" charset="0"/>
              </a:rPr>
              <a:t>Sales Over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38980107888106968"/>
          <c:y val="5.925925925925925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37803846991382E-2"/>
          <c:y val="0.16167419072615924"/>
          <c:w val="0.87862580216690656"/>
          <c:h val="0.53662525517643633"/>
        </c:manualLayout>
      </c:layout>
      <c:lineChart>
        <c:grouping val="standard"/>
        <c:varyColors val="0"/>
        <c:ser>
          <c:idx val="0"/>
          <c:order val="0"/>
          <c:tx>
            <c:strRef>
              <c:f>'Pivot Tables'!$F$19</c:f>
              <c:strCache>
                <c:ptCount val="1"/>
                <c:pt idx="0">
                  <c:v>Total</c:v>
                </c:pt>
              </c:strCache>
            </c:strRef>
          </c:tx>
          <c:spPr>
            <a:ln w="28575" cap="rnd">
              <a:solidFill>
                <a:schemeClr val="accent1"/>
              </a:solidFill>
              <a:round/>
            </a:ln>
            <a:effectLst/>
          </c:spPr>
          <c:marker>
            <c:symbol val="none"/>
          </c:marker>
          <c:cat>
            <c:strRef>
              <c:f>'Pivot Tables'!$E$20:$E$70</c:f>
              <c:strCache>
                <c:ptCount val="50"/>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strCache>
            </c:strRef>
          </c:cat>
          <c:val>
            <c:numRef>
              <c:f>'Pivot Tables'!$F$20:$F$70</c:f>
              <c:numCache>
                <c:formatCode>General</c:formatCode>
                <c:ptCount val="50"/>
                <c:pt idx="0">
                  <c:v>2775</c:v>
                </c:pt>
                <c:pt idx="1">
                  <c:v>1382</c:v>
                </c:pt>
                <c:pt idx="2">
                  <c:v>809</c:v>
                </c:pt>
                <c:pt idx="3">
                  <c:v>4844</c:v>
                </c:pt>
                <c:pt idx="4">
                  <c:v>4513</c:v>
                </c:pt>
                <c:pt idx="5">
                  <c:v>2806</c:v>
                </c:pt>
                <c:pt idx="6">
                  <c:v>4879</c:v>
                </c:pt>
                <c:pt idx="7">
                  <c:v>763</c:v>
                </c:pt>
                <c:pt idx="8">
                  <c:v>2098</c:v>
                </c:pt>
                <c:pt idx="9">
                  <c:v>3545</c:v>
                </c:pt>
                <c:pt idx="10">
                  <c:v>3843</c:v>
                </c:pt>
                <c:pt idx="11">
                  <c:v>1595</c:v>
                </c:pt>
                <c:pt idx="12">
                  <c:v>3404</c:v>
                </c:pt>
                <c:pt idx="13">
                  <c:v>3863</c:v>
                </c:pt>
                <c:pt idx="14">
                  <c:v>1953</c:v>
                </c:pt>
                <c:pt idx="15">
                  <c:v>4759</c:v>
                </c:pt>
                <c:pt idx="16">
                  <c:v>1391</c:v>
                </c:pt>
                <c:pt idx="17">
                  <c:v>3681</c:v>
                </c:pt>
                <c:pt idx="18">
                  <c:v>3557</c:v>
                </c:pt>
                <c:pt idx="19">
                  <c:v>1736</c:v>
                </c:pt>
                <c:pt idx="20">
                  <c:v>3796</c:v>
                </c:pt>
                <c:pt idx="21">
                  <c:v>3099</c:v>
                </c:pt>
                <c:pt idx="22">
                  <c:v>3252</c:v>
                </c:pt>
                <c:pt idx="23">
                  <c:v>798</c:v>
                </c:pt>
                <c:pt idx="24">
                  <c:v>2260</c:v>
                </c:pt>
                <c:pt idx="25">
                  <c:v>4197</c:v>
                </c:pt>
                <c:pt idx="26">
                  <c:v>4837</c:v>
                </c:pt>
                <c:pt idx="27">
                  <c:v>954</c:v>
                </c:pt>
                <c:pt idx="28">
                  <c:v>3574</c:v>
                </c:pt>
                <c:pt idx="29">
                  <c:v>1807</c:v>
                </c:pt>
                <c:pt idx="30">
                  <c:v>2877</c:v>
                </c:pt>
                <c:pt idx="31">
                  <c:v>1833</c:v>
                </c:pt>
                <c:pt idx="32">
                  <c:v>3610</c:v>
                </c:pt>
                <c:pt idx="33">
                  <c:v>302</c:v>
                </c:pt>
                <c:pt idx="34">
                  <c:v>3355</c:v>
                </c:pt>
                <c:pt idx="35">
                  <c:v>4318</c:v>
                </c:pt>
                <c:pt idx="36">
                  <c:v>4596</c:v>
                </c:pt>
                <c:pt idx="37">
                  <c:v>866</c:v>
                </c:pt>
                <c:pt idx="38">
                  <c:v>4489</c:v>
                </c:pt>
                <c:pt idx="39">
                  <c:v>2427</c:v>
                </c:pt>
                <c:pt idx="40">
                  <c:v>3031</c:v>
                </c:pt>
                <c:pt idx="41">
                  <c:v>297</c:v>
                </c:pt>
                <c:pt idx="42">
                  <c:v>2030</c:v>
                </c:pt>
                <c:pt idx="43">
                  <c:v>3682</c:v>
                </c:pt>
                <c:pt idx="44">
                  <c:v>708</c:v>
                </c:pt>
                <c:pt idx="45">
                  <c:v>3372</c:v>
                </c:pt>
                <c:pt idx="46">
                  <c:v>1247</c:v>
                </c:pt>
                <c:pt idx="47">
                  <c:v>4382</c:v>
                </c:pt>
                <c:pt idx="48">
                  <c:v>3497</c:v>
                </c:pt>
                <c:pt idx="49">
                  <c:v>2611</c:v>
                </c:pt>
              </c:numCache>
            </c:numRef>
          </c:val>
          <c:smooth val="0"/>
          <c:extLst>
            <c:ext xmlns:c16="http://schemas.microsoft.com/office/drawing/2014/chart" uri="{C3380CC4-5D6E-409C-BE32-E72D297353CC}">
              <c16:uniqueId val="{00000000-5EB8-4804-BF11-65B210C65F26}"/>
            </c:ext>
          </c:extLst>
        </c:ser>
        <c:dLbls>
          <c:showLegendKey val="0"/>
          <c:showVal val="0"/>
          <c:showCatName val="0"/>
          <c:showSerName val="0"/>
          <c:showPercent val="0"/>
          <c:showBubbleSize val="0"/>
        </c:dLbls>
        <c:smooth val="0"/>
        <c:axId val="1901442688"/>
        <c:axId val="1901461408"/>
      </c:lineChart>
      <c:catAx>
        <c:axId val="19014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1461408"/>
        <c:crosses val="autoZero"/>
        <c:auto val="1"/>
        <c:lblAlgn val="ctr"/>
        <c:lblOffset val="100"/>
        <c:noMultiLvlLbl val="0"/>
      </c:catAx>
      <c:valAx>
        <c:axId val="190146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14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516219</xdr:colOff>
      <xdr:row>0</xdr:row>
      <xdr:rowOff>175173</xdr:rowOff>
    </xdr:from>
    <xdr:to>
      <xdr:col>25</xdr:col>
      <xdr:colOff>10948</xdr:colOff>
      <xdr:row>15</xdr:row>
      <xdr:rowOff>175173</xdr:rowOff>
    </xdr:to>
    <xdr:graphicFrame macro="">
      <xdr:nvGraphicFramePr>
        <xdr:cNvPr id="2" name="Chart 1">
          <a:extLst>
            <a:ext uri="{FF2B5EF4-FFF2-40B4-BE49-F238E27FC236}">
              <a16:creationId xmlns:a16="http://schemas.microsoft.com/office/drawing/2014/main" id="{349722A0-32C2-4BB6-B594-B4CB2FADB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104774</xdr:colOff>
      <xdr:row>4</xdr:row>
      <xdr:rowOff>133350</xdr:rowOff>
    </xdr:from>
    <xdr:to>
      <xdr:col>3</xdr:col>
      <xdr:colOff>923924</xdr:colOff>
      <xdr:row>7</xdr:row>
      <xdr:rowOff>85725</xdr:rowOff>
    </xdr:to>
    <xdr:sp macro="" textlink="">
      <xdr:nvSpPr>
        <xdr:cNvPr id="2" name="TextBox 1">
          <a:extLst>
            <a:ext uri="{FF2B5EF4-FFF2-40B4-BE49-F238E27FC236}">
              <a16:creationId xmlns:a16="http://schemas.microsoft.com/office/drawing/2014/main" id="{406D196D-7C4D-975C-6B14-CD89A0D62003}"/>
            </a:ext>
          </a:extLst>
        </xdr:cNvPr>
        <xdr:cNvSpPr txBox="1"/>
      </xdr:nvSpPr>
      <xdr:spPr>
        <a:xfrm>
          <a:off x="2066924" y="1047750"/>
          <a:ext cx="13430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600075</xdr:colOff>
      <xdr:row>7</xdr:row>
      <xdr:rowOff>9526</xdr:rowOff>
    </xdr:to>
    <xdr:grpSp>
      <xdr:nvGrpSpPr>
        <xdr:cNvPr id="4" name="Group 3">
          <a:extLst>
            <a:ext uri="{FF2B5EF4-FFF2-40B4-BE49-F238E27FC236}">
              <a16:creationId xmlns:a16="http://schemas.microsoft.com/office/drawing/2014/main" id="{C93E1827-1B1E-D075-E21D-1E3BB39D3686}"/>
            </a:ext>
          </a:extLst>
        </xdr:cNvPr>
        <xdr:cNvGrpSpPr/>
      </xdr:nvGrpSpPr>
      <xdr:grpSpPr>
        <a:xfrm>
          <a:off x="611605" y="762000"/>
          <a:ext cx="1753102" cy="611105"/>
          <a:chOff x="609600" y="190500"/>
          <a:chExt cx="1819275" cy="676276"/>
        </a:xfrm>
        <a:solidFill>
          <a:schemeClr val="bg1"/>
        </a:solidFill>
        <a:effectLst>
          <a:outerShdw blurRad="50800" dist="38100" dir="2700000" algn="tl" rotWithShape="0">
            <a:prstClr val="black">
              <a:alpha val="40000"/>
            </a:prstClr>
          </a:outerShdw>
        </a:effectLst>
      </xdr:grpSpPr>
      <xdr:sp macro="" textlink="'Pivot Tables'!$B$4">
        <xdr:nvSpPr>
          <xdr:cNvPr id="2" name="Rectangle 1">
            <a:extLst>
              <a:ext uri="{FF2B5EF4-FFF2-40B4-BE49-F238E27FC236}">
                <a16:creationId xmlns:a16="http://schemas.microsoft.com/office/drawing/2014/main" id="{B4640FEE-2896-A62E-DD44-686B5F09B17E}"/>
              </a:ext>
            </a:extLst>
          </xdr:cNvPr>
          <xdr:cNvSpPr/>
        </xdr:nvSpPr>
        <xdr:spPr>
          <a:xfrm>
            <a:off x="609600" y="190500"/>
            <a:ext cx="1819275" cy="67627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B9D637-E9F2-49A8-B4EE-997362E94837}"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 $140,300 </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3" name="TextBox 2">
            <a:extLst>
              <a:ext uri="{FF2B5EF4-FFF2-40B4-BE49-F238E27FC236}">
                <a16:creationId xmlns:a16="http://schemas.microsoft.com/office/drawing/2014/main" id="{F9201F67-4DB4-48CC-98E3-1C76FB8AAD6E}"/>
              </a:ext>
            </a:extLst>
          </xdr:cNvPr>
          <xdr:cNvSpPr txBox="1"/>
        </xdr:nvSpPr>
        <xdr:spPr>
          <a:xfrm>
            <a:off x="619125" y="201186"/>
            <a:ext cx="1800225" cy="3466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Sales Amount</a:t>
            </a:r>
          </a:p>
        </xdr:txBody>
      </xdr:sp>
    </xdr:grpSp>
    <xdr:clientData/>
  </xdr:twoCellAnchor>
  <xdr:twoCellAnchor>
    <xdr:from>
      <xdr:col>4</xdr:col>
      <xdr:colOff>417738</xdr:colOff>
      <xdr:row>3</xdr:row>
      <xdr:rowOff>190952</xdr:rowOff>
    </xdr:from>
    <xdr:to>
      <xdr:col>7</xdr:col>
      <xdr:colOff>408214</xdr:colOff>
      <xdr:row>7</xdr:row>
      <xdr:rowOff>7711</xdr:rowOff>
    </xdr:to>
    <xdr:grpSp>
      <xdr:nvGrpSpPr>
        <xdr:cNvPr id="21" name="Group 20">
          <a:extLst>
            <a:ext uri="{FF2B5EF4-FFF2-40B4-BE49-F238E27FC236}">
              <a16:creationId xmlns:a16="http://schemas.microsoft.com/office/drawing/2014/main" id="{A7786177-421D-8C41-DE22-F17A4499E692}"/>
            </a:ext>
          </a:extLst>
        </xdr:cNvPr>
        <xdr:cNvGrpSpPr/>
      </xdr:nvGrpSpPr>
      <xdr:grpSpPr>
        <a:xfrm>
          <a:off x="2793975" y="762452"/>
          <a:ext cx="1825292" cy="608838"/>
          <a:chOff x="3057525" y="200025"/>
          <a:chExt cx="1819275" cy="581026"/>
        </a:xfrm>
        <a:solidFill>
          <a:schemeClr val="bg1"/>
        </a:solidFill>
        <a:effectLst>
          <a:outerShdw blurRad="50800" dist="38100" dir="2700000" algn="tl" rotWithShape="0">
            <a:prstClr val="black">
              <a:alpha val="40000"/>
            </a:prstClr>
          </a:outerShdw>
        </a:effectLst>
      </xdr:grpSpPr>
      <xdr:sp macro="" textlink="'Pivot Tables'!$D$4">
        <xdr:nvSpPr>
          <xdr:cNvPr id="19" name="Rectangle 18">
            <a:extLst>
              <a:ext uri="{FF2B5EF4-FFF2-40B4-BE49-F238E27FC236}">
                <a16:creationId xmlns:a16="http://schemas.microsoft.com/office/drawing/2014/main" id="{B6EE43BF-F6DD-051D-D98E-52E2E6CA1CD4}"/>
              </a:ext>
            </a:extLst>
          </xdr:cNvPr>
          <xdr:cNvSpPr/>
        </xdr:nvSpPr>
        <xdr:spPr>
          <a:xfrm>
            <a:off x="3057525" y="200025"/>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38BF81F-3BC7-4FB1-8B22-A4F16A79329A}"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251</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20" name="TextBox 19">
            <a:extLst>
              <a:ext uri="{FF2B5EF4-FFF2-40B4-BE49-F238E27FC236}">
                <a16:creationId xmlns:a16="http://schemas.microsoft.com/office/drawing/2014/main" id="{23BFE3B8-1546-925E-C23A-EA2C2F8EDF0E}"/>
              </a:ext>
            </a:extLst>
          </xdr:cNvPr>
          <xdr:cNvSpPr txBox="1"/>
        </xdr:nvSpPr>
        <xdr:spPr>
          <a:xfrm>
            <a:off x="3067050" y="209206"/>
            <a:ext cx="1800225" cy="2995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Quantity Sold</a:t>
            </a:r>
          </a:p>
        </xdr:txBody>
      </xdr:sp>
    </xdr:grpSp>
    <xdr:clientData/>
  </xdr:twoCellAnchor>
  <xdr:twoCellAnchor>
    <xdr:from>
      <xdr:col>8</xdr:col>
      <xdr:colOff>306161</xdr:colOff>
      <xdr:row>3</xdr:row>
      <xdr:rowOff>179614</xdr:rowOff>
    </xdr:from>
    <xdr:to>
      <xdr:col>11</xdr:col>
      <xdr:colOff>293915</xdr:colOff>
      <xdr:row>6</xdr:row>
      <xdr:rowOff>189141</xdr:rowOff>
    </xdr:to>
    <xdr:grpSp>
      <xdr:nvGrpSpPr>
        <xdr:cNvPr id="25" name="Group 24">
          <a:extLst>
            <a:ext uri="{FF2B5EF4-FFF2-40B4-BE49-F238E27FC236}">
              <a16:creationId xmlns:a16="http://schemas.microsoft.com/office/drawing/2014/main" id="{6D5C5D41-0024-86EA-CB15-75683CF86B8B}"/>
            </a:ext>
          </a:extLst>
        </xdr:cNvPr>
        <xdr:cNvGrpSpPr/>
      </xdr:nvGrpSpPr>
      <xdr:grpSpPr>
        <a:xfrm>
          <a:off x="5128819" y="751114"/>
          <a:ext cx="1822570" cy="601080"/>
          <a:chOff x="5486400" y="228600"/>
          <a:chExt cx="1819275" cy="581026"/>
        </a:xfrm>
        <a:solidFill>
          <a:schemeClr val="bg1"/>
        </a:solidFill>
        <a:effectLst>
          <a:outerShdw blurRad="50800" dist="38100" dir="2700000" algn="tl" rotWithShape="0">
            <a:prstClr val="black">
              <a:alpha val="40000"/>
            </a:prstClr>
          </a:outerShdw>
        </a:effectLst>
      </xdr:grpSpPr>
      <xdr:sp macro="" textlink="'Pivot Tables'!$F$4">
        <xdr:nvSpPr>
          <xdr:cNvPr id="23" name="Rectangle 22">
            <a:extLst>
              <a:ext uri="{FF2B5EF4-FFF2-40B4-BE49-F238E27FC236}">
                <a16:creationId xmlns:a16="http://schemas.microsoft.com/office/drawing/2014/main" id="{17135686-BDFC-6A3D-DC68-27E5A6576B6C}"/>
              </a:ext>
            </a:extLst>
          </xdr:cNvPr>
          <xdr:cNvSpPr/>
        </xdr:nvSpPr>
        <xdr:spPr>
          <a:xfrm>
            <a:off x="5486400" y="228600"/>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63A01EC-5263-45A3-8C37-23175F316A76}"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50</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24" name="TextBox 23">
            <a:extLst>
              <a:ext uri="{FF2B5EF4-FFF2-40B4-BE49-F238E27FC236}">
                <a16:creationId xmlns:a16="http://schemas.microsoft.com/office/drawing/2014/main" id="{29616AF7-E947-45DD-A964-B2D693AB8782}"/>
              </a:ext>
            </a:extLst>
          </xdr:cNvPr>
          <xdr:cNvSpPr txBox="1"/>
        </xdr:nvSpPr>
        <xdr:spPr>
          <a:xfrm>
            <a:off x="5495925" y="237781"/>
            <a:ext cx="1800225" cy="3103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Orders</a:t>
            </a:r>
          </a:p>
        </xdr:txBody>
      </xdr:sp>
    </xdr:grpSp>
    <xdr:clientData/>
  </xdr:twoCellAnchor>
  <xdr:twoCellAnchor>
    <xdr:from>
      <xdr:col>1</xdr:col>
      <xdr:colOff>0</xdr:colOff>
      <xdr:row>1</xdr:row>
      <xdr:rowOff>9525</xdr:rowOff>
    </xdr:from>
    <xdr:to>
      <xdr:col>19</xdr:col>
      <xdr:colOff>11339</xdr:colOff>
      <xdr:row>2</xdr:row>
      <xdr:rowOff>180975</xdr:rowOff>
    </xdr:to>
    <xdr:sp macro="" textlink="">
      <xdr:nvSpPr>
        <xdr:cNvPr id="29" name="TextBox 28">
          <a:extLst>
            <a:ext uri="{FF2B5EF4-FFF2-40B4-BE49-F238E27FC236}">
              <a16:creationId xmlns:a16="http://schemas.microsoft.com/office/drawing/2014/main" id="{C88791F8-4114-8E9B-DF13-86BA231B72F0}"/>
            </a:ext>
          </a:extLst>
        </xdr:cNvPr>
        <xdr:cNvSpPr txBox="1"/>
      </xdr:nvSpPr>
      <xdr:spPr>
        <a:xfrm>
          <a:off x="612321" y="202293"/>
          <a:ext cx="12847411" cy="364218"/>
        </a:xfrm>
        <a:prstGeom prst="rect">
          <a:avLst/>
        </a:prstGeom>
        <a:solidFill>
          <a:sysClr val="window" lastClr="FFFFF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solidFill>
              <a:latin typeface="Calibri" panose="020F0502020204030204" pitchFamily="34" charset="0"/>
              <a:cs typeface="Calibri" panose="020F0502020204030204" pitchFamily="34" charset="0"/>
            </a:rPr>
            <a:t>Sales</a:t>
          </a:r>
          <a:r>
            <a:rPr lang="en-US" sz="2400" b="1" baseline="0">
              <a:solidFill>
                <a:schemeClr val="accent1"/>
              </a:solidFill>
              <a:latin typeface="Calibri" panose="020F0502020204030204" pitchFamily="34" charset="0"/>
              <a:cs typeface="Calibri" panose="020F0502020204030204" pitchFamily="34" charset="0"/>
            </a:rPr>
            <a:t> Report Dashboard  </a:t>
          </a:r>
          <a:endParaRPr lang="en-US" sz="2400" b="1">
            <a:solidFill>
              <a:schemeClr val="accent1"/>
            </a:solidFill>
            <a:latin typeface="Calibri" panose="020F0502020204030204" pitchFamily="34" charset="0"/>
            <a:cs typeface="Calibri" panose="020F0502020204030204" pitchFamily="34" charset="0"/>
          </a:endParaRPr>
        </a:p>
      </xdr:txBody>
    </xdr:sp>
    <xdr:clientData/>
  </xdr:twoCellAnchor>
  <xdr:twoCellAnchor editAs="oneCell">
    <xdr:from>
      <xdr:col>1</xdr:col>
      <xdr:colOff>2954</xdr:colOff>
      <xdr:row>9</xdr:row>
      <xdr:rowOff>3127</xdr:rowOff>
    </xdr:from>
    <xdr:to>
      <xdr:col>3</xdr:col>
      <xdr:colOff>599326</xdr:colOff>
      <xdr:row>18</xdr:row>
      <xdr:rowOff>93451</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AC998423-B96D-B9F1-DCBB-BFA8DF4198F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470" y="1774982"/>
              <a:ext cx="1743469" cy="1938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149831</xdr:rowOff>
    </xdr:from>
    <xdr:to>
      <xdr:col>4</xdr:col>
      <xdr:colOff>1</xdr:colOff>
      <xdr:row>30</xdr:row>
      <xdr:rowOff>93452</xdr:rowOff>
    </xdr:to>
    <mc:AlternateContent xmlns:mc="http://schemas.openxmlformats.org/markup-compatibility/2006" xmlns:a14="http://schemas.microsoft.com/office/drawing/2010/main">
      <mc:Choice Requires="a14">
        <xdr:graphicFrame macro="">
          <xdr:nvGraphicFramePr>
            <xdr:cNvPr id="32" name="Product">
              <a:extLst>
                <a:ext uri="{FF2B5EF4-FFF2-40B4-BE49-F238E27FC236}">
                  <a16:creationId xmlns:a16="http://schemas.microsoft.com/office/drawing/2014/main" id="{B72C9A62-9E26-7656-159E-F5E2FC8B580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4516" y="3888137"/>
              <a:ext cx="1761614" cy="2181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235450</xdr:colOff>
      <xdr:row>8</xdr:row>
      <xdr:rowOff>160533</xdr:rowOff>
    </xdr:from>
    <xdr:to>
      <xdr:col>9</xdr:col>
      <xdr:colOff>85617</xdr:colOff>
      <xdr:row>19</xdr:row>
      <xdr:rowOff>10702</xdr:rowOff>
    </xdr:to>
    <xdr:graphicFrame macro="">
      <xdr:nvGraphicFramePr>
        <xdr:cNvPr id="5" name="Chart 4">
          <a:extLst>
            <a:ext uri="{FF2B5EF4-FFF2-40B4-BE49-F238E27FC236}">
              <a16:creationId xmlns:a16="http://schemas.microsoft.com/office/drawing/2014/main" id="{E8F585E9-956A-423A-A61E-93037BEDB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235451</xdr:colOff>
      <xdr:row>8</xdr:row>
      <xdr:rowOff>171237</xdr:rowOff>
    </xdr:from>
    <xdr:to>
      <xdr:col>15</xdr:col>
      <xdr:colOff>102054</xdr:colOff>
      <xdr:row>19</xdr:row>
      <xdr:rowOff>11340</xdr:rowOff>
    </xdr:to>
    <xdr:graphicFrame macro="">
      <xdr:nvGraphicFramePr>
        <xdr:cNvPr id="6" name="Chart 5">
          <a:extLst>
            <a:ext uri="{FF2B5EF4-FFF2-40B4-BE49-F238E27FC236}">
              <a16:creationId xmlns:a16="http://schemas.microsoft.com/office/drawing/2014/main" id="{1FD6CE78-531B-4EC5-A2B3-6652016CA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235451</xdr:colOff>
      <xdr:row>20</xdr:row>
      <xdr:rowOff>1</xdr:rowOff>
    </xdr:from>
    <xdr:to>
      <xdr:col>15</xdr:col>
      <xdr:colOff>124734</xdr:colOff>
      <xdr:row>30</xdr:row>
      <xdr:rowOff>93452</xdr:rowOff>
    </xdr:to>
    <xdr:graphicFrame macro="">
      <xdr:nvGraphicFramePr>
        <xdr:cNvPr id="8" name="Chart 7">
          <a:extLst>
            <a:ext uri="{FF2B5EF4-FFF2-40B4-BE49-F238E27FC236}">
              <a16:creationId xmlns:a16="http://schemas.microsoft.com/office/drawing/2014/main" id="{1297D717-4941-404F-9CE8-5556E20BF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102054</xdr:colOff>
      <xdr:row>3</xdr:row>
      <xdr:rowOff>190953</xdr:rowOff>
    </xdr:from>
    <xdr:to>
      <xdr:col>15</xdr:col>
      <xdr:colOff>101147</xdr:colOff>
      <xdr:row>7</xdr:row>
      <xdr:rowOff>7712</xdr:rowOff>
    </xdr:to>
    <xdr:grpSp>
      <xdr:nvGrpSpPr>
        <xdr:cNvPr id="9" name="Group 8">
          <a:extLst>
            <a:ext uri="{FF2B5EF4-FFF2-40B4-BE49-F238E27FC236}">
              <a16:creationId xmlns:a16="http://schemas.microsoft.com/office/drawing/2014/main" id="{87957C86-3BC4-5C2C-1C01-38C4951C71A8}"/>
            </a:ext>
          </a:extLst>
        </xdr:cNvPr>
        <xdr:cNvGrpSpPr/>
      </xdr:nvGrpSpPr>
      <xdr:grpSpPr>
        <a:xfrm>
          <a:off x="7371133" y="762453"/>
          <a:ext cx="1823882" cy="608838"/>
          <a:chOff x="5486400" y="228600"/>
          <a:chExt cx="1819275" cy="581026"/>
        </a:xfrm>
        <a:solidFill>
          <a:schemeClr val="bg1"/>
        </a:solidFill>
        <a:effectLst>
          <a:outerShdw blurRad="50800" dist="38100" dir="2700000" algn="tl" rotWithShape="0">
            <a:prstClr val="black">
              <a:alpha val="40000"/>
            </a:prstClr>
          </a:outerShdw>
        </a:effectLst>
      </xdr:grpSpPr>
      <xdr:sp macro="" textlink="'Pivot Tables'!$F$4">
        <xdr:nvSpPr>
          <xdr:cNvPr id="10" name="Rectangle 9">
            <a:extLst>
              <a:ext uri="{FF2B5EF4-FFF2-40B4-BE49-F238E27FC236}">
                <a16:creationId xmlns:a16="http://schemas.microsoft.com/office/drawing/2014/main" id="{6E986EFB-23EC-8525-804B-02B7627C946F}"/>
              </a:ext>
            </a:extLst>
          </xdr:cNvPr>
          <xdr:cNvSpPr/>
        </xdr:nvSpPr>
        <xdr:spPr>
          <a:xfrm>
            <a:off x="5486400" y="228600"/>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0" i="0" u="none" strike="noStrike">
                <a:solidFill>
                  <a:schemeClr val="accent1"/>
                </a:solidFill>
                <a:latin typeface="Calibri" panose="020F0502020204030204" pitchFamily="34" charset="0"/>
                <a:cs typeface="Calibri" panose="020F0502020204030204" pitchFamily="34" charset="0"/>
              </a:rPr>
              <a:t>Mouse</a:t>
            </a:r>
            <a:endParaRPr lang="en-US" sz="1600">
              <a:solidFill>
                <a:schemeClr val="accent1"/>
              </a:solidFill>
              <a:latin typeface="Calibri" panose="020F0502020204030204" pitchFamily="34" charset="0"/>
              <a:cs typeface="Calibri" panose="020F0502020204030204" pitchFamily="34" charset="0"/>
            </a:endParaRPr>
          </a:p>
        </xdr:txBody>
      </xdr:sp>
      <xdr:sp macro="" textlink="">
        <xdr:nvSpPr>
          <xdr:cNvPr id="11" name="TextBox 10">
            <a:extLst>
              <a:ext uri="{FF2B5EF4-FFF2-40B4-BE49-F238E27FC236}">
                <a16:creationId xmlns:a16="http://schemas.microsoft.com/office/drawing/2014/main" id="{A99FB9C0-FE64-CFBB-A2A3-DF2A118D2157}"/>
              </a:ext>
            </a:extLst>
          </xdr:cNvPr>
          <xdr:cNvSpPr txBox="1"/>
        </xdr:nvSpPr>
        <xdr:spPr>
          <a:xfrm>
            <a:off x="5495925" y="237781"/>
            <a:ext cx="1800225" cy="2995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Top</a:t>
            </a:r>
            <a:r>
              <a:rPr lang="en-US" sz="1400" b="1" baseline="0">
                <a:solidFill>
                  <a:schemeClr val="accent1"/>
                </a:solidFill>
                <a:latin typeface="Calibri" panose="020F0502020204030204" pitchFamily="34" charset="0"/>
                <a:cs typeface="Calibri" panose="020F0502020204030204" pitchFamily="34" charset="0"/>
              </a:rPr>
              <a:t> Selling Product</a:t>
            </a:r>
            <a:endParaRPr lang="en-US" sz="1400" b="1">
              <a:solidFill>
                <a:schemeClr val="accent1"/>
              </a:solidFill>
              <a:latin typeface="Calibri" panose="020F0502020204030204" pitchFamily="34" charset="0"/>
              <a:cs typeface="Calibri" panose="020F0502020204030204" pitchFamily="34" charset="0"/>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3%20Mastering%20in%20Excel\Sales%20DataSet.xlsx" TargetMode="External"/><Relationship Id="rId1" Type="http://schemas.openxmlformats.org/officeDocument/2006/relationships/externalLinkPath" Target="/3%20Mastering%20in%20Excel/Sales%20DataSet.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heet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0"/>
      <sheetName val="Sheet1"/>
      <sheetName val="Sheet2"/>
      <sheetName val="Sheet2 (2)"/>
      <sheetName val="Sheet3"/>
      <sheetName val="Table 1"/>
      <sheetName val="Sales DataSet"/>
    </sheetNames>
    <sheetDataSet>
      <sheetData sheetId="0"/>
      <sheetData sheetId="1"/>
      <sheetData sheetId="2" refreshError="1"/>
      <sheetData sheetId="3"/>
      <sheetData sheetId="4" refreshError="1"/>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49189817" backgroundQuery="1" createdVersion="8" refreshedVersion="8" minRefreshableVersion="3" recordCount="0" supportSubquery="1" supportAdvancedDrill="1" xr:uid="{C8C7D405-127E-491F-85C7-1C19216E71E6}">
  <cacheSource type="external" connectionId="1"/>
  <cacheFields count="3">
    <cacheField name="[Measures].[Sum of Sales Amount]" caption="Sum of Sales Amount" numFmtId="0" hierarchy="44"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53009258" backgroundQuery="1" createdVersion="8" refreshedVersion="8" minRefreshableVersion="3" recordCount="0" supportSubquery="1" supportAdvancedDrill="1" xr:uid="{5D6C959A-C527-420C-9AC2-DBE3348D7ADB}">
  <cacheSource type="external" connectionId="1"/>
  <cacheFields count="4">
    <cacheField name="[Table1].[Salesperson].[Salesperson]" caption="Salesperson" numFmtId="0" hierarchy="17" level="1">
      <sharedItems count="4">
        <s v="Alice"/>
        <s v="John"/>
        <s v="Robert"/>
        <s v="Sophia"/>
      </sharedItems>
    </cacheField>
    <cacheField name="[Measures].[Sum of Quantity]" caption="Sum of Quantity" numFmtId="0" hierarchy="45"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3"/>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57291669" backgroundQuery="1" createdVersion="8" refreshedVersion="8" minRefreshableVersion="3" recordCount="0" supportSubquery="1" supportAdvancedDrill="1" xr:uid="{8A017FE6-4250-456F-96F1-DC208ABEC519}">
  <cacheSource type="external" connectionId="1"/>
  <cacheFields count="5">
    <cacheField name="[Table1].[Salesperson].[Salesperson]" caption="Salesperson" numFmtId="0" hierarchy="17" level="1">
      <sharedItems count="4">
        <s v="Alice"/>
        <s v="John"/>
        <s v="Robert"/>
        <s v="Sophia"/>
      </sharedItems>
    </cacheField>
    <cacheField name="[Measures].[Sum of Sales Amount]" caption="Sum of Sales Amount" numFmtId="0" hierarchy="44" level="32767"/>
    <cacheField name="[Table1].[Product].[Product]" caption="Product" numFmtId="0" hierarchy="11" level="1">
      <sharedItems count="5">
        <s v="Keyboard"/>
        <s v="Laptop"/>
        <s v="Monitor"/>
        <s v="Mouse"/>
        <s v="Printer"/>
      </sharedItems>
    </cacheField>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4"/>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60069447" backgroundQuery="1" createdVersion="8" refreshedVersion="8" minRefreshableVersion="3" recordCount="0" supportSubquery="1" supportAdvancedDrill="1" xr:uid="{E4A42804-58B0-4BA0-905B-5AA89A56D061}">
  <cacheSource type="external" connectionId="1"/>
  <cacheFields count="3">
    <cacheField name="[Measures].[Count of Order ID]" caption="Count of Order ID" numFmtId="0" hierarchy="46"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63194442" backgroundQuery="1" createdVersion="8" refreshedVersion="8" minRefreshableVersion="3" recordCount="0" supportSubquery="1" supportAdvancedDrill="1" xr:uid="{A765206C-840E-4533-A9F5-EFBD70FFC5B1}">
  <cacheSource type="external" connectionId="1"/>
  <cacheFields count="3">
    <cacheField name="[Measures].[Sum of Quantity]" caption="Sum of Quantity" numFmtId="0" hierarchy="45"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66435183" backgroundQuery="1" createdVersion="8" refreshedVersion="8" minRefreshableVersion="3" recordCount="0" supportSubquery="1" supportAdvancedDrill="1" xr:uid="{277349D2-B2D1-4522-9846-D8F1529EDD56}">
  <cacheSource type="external" connectionId="1"/>
  <cacheFields count="3">
    <cacheField name="[Table1_1].[Product].[Product]" caption="Product" numFmtId="0" hierarchy="20" level="1">
      <sharedItems count="5">
        <s v="Keyboard"/>
        <s v="Laptop"/>
        <s v="Monitor"/>
        <s v="Mouse"/>
        <s v="Printer"/>
      </sharedItems>
    </cacheField>
    <cacheField name="[Measures].[Sum of Sales Amount 2]" caption="Sum of Sales Amount 2" numFmtId="0" hierarchy="49" level="32767"/>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70138885" backgroundQuery="1" createdVersion="8" refreshedVersion="8" minRefreshableVersion="3" recordCount="0" supportSubquery="1" supportAdvancedDrill="1" xr:uid="{29521775-1D38-4B6D-814A-DB0E54D73058}">
  <cacheSource type="external" connectionId="1"/>
  <cacheFields count="4">
    <cacheField name="[Table1_1].[Order Date].[Order Date]" caption="Order Date" numFmtId="0" hierarchy="19" level="1">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cacheField>
    <cacheField name="[Measures].[Sum of Sales Amount 2]" caption="Sum of Sales Amount 2" numFmtId="0" hierarchy="49"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2" memberValueDatatype="7"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3"/>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73726849" backgroundQuery="1" createdVersion="8" refreshedVersion="8" minRefreshableVersion="3" recordCount="0" supportSubquery="1" supportAdvancedDrill="1" xr:uid="{CBAF2F6C-FFFB-4985-8A49-500F18DF6DF9}">
  <cacheSource type="external" connectionId="1"/>
  <cacheFields count="5">
    <cacheField name="[Table1_1].[Salesperson].[Salesperson]" caption="Salesperson" numFmtId="0" hierarchy="26" level="1">
      <sharedItems count="4">
        <s v="Alice"/>
        <s v="John"/>
        <s v="Robert"/>
        <s v="Sophia"/>
      </sharedItems>
    </cacheField>
    <cacheField name="[Table1_1].[Region].[Region]" caption="Region" numFmtId="0" hierarchy="22" level="1">
      <sharedItems count="4">
        <s v="East"/>
        <s v="North"/>
        <s v="South"/>
        <s v="West"/>
      </sharedItems>
    </cacheField>
    <cacheField name="[Measures].[Sum of Quantity 2]" caption="Sum of Quantity 2" numFmtId="0" hierarchy="52" level="32767"/>
    <cacheField name="[Measures].[Sum of Sales Amount 2]" caption="Sum of Sales Amount 2" numFmtId="0" hierarchy="49" level="32767"/>
    <cacheField name="[Table1_1].[Product].[Product]" caption="Product" numFmtId="0" hierarchy="20"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1"/>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2" memberValueDatatype="130" unbalanced="0">
      <fieldsUsage count="2">
        <fieldUsage x="-1"/>
        <fieldUsage x="0"/>
      </fieldsUsage>
    </cacheHierarchy>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78935183" backgroundQuery="1" createdVersion="8" refreshedVersion="8" minRefreshableVersion="3" recordCount="0" supportSubquery="1" supportAdvancedDrill="1" xr:uid="{E67C75CF-6F4E-41DA-91DB-CA126247FD82}">
  <cacheSource type="external" connectionId="1"/>
  <cacheFields count="4">
    <cacheField name="[Table1_1].[Category].[Category]" caption="Category" numFmtId="0" hierarchy="21" level="1">
      <sharedItems count="2">
        <s v="Accessories"/>
        <s v="Electronics"/>
      </sharedItems>
    </cacheField>
    <cacheField name="[Measures].[Sum of Sales Amount 2]" caption="Sum of Sales Amount 2" numFmtId="0" hierarchy="49" level="32767"/>
    <cacheField name="[Table1_1].[Product].[Product]" caption="Product" numFmtId="0" hierarchy="20" level="1">
      <sharedItems containsSemiMixedTypes="0" containsNonDate="0" containsString="0"/>
    </cacheField>
    <cacheField name="[Table1_1].[Region].[Region]" caption="Region" numFmtId="0" hierarchy="22"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Region]" caption="Region" attribute="1" defaultMemberUniqueName="[Table1_1].[Region].[All]" allUniqueName="[Table1_1].[Region].[All]" dimensionUniqueName="[Table1_1]" displayFolder="" count="2" memberValueDatatype="130" unbalanced="0">
      <fieldsUsage count="2">
        <fieldUsage x="-1"/>
        <fieldUsage x="3"/>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7.876239004632" backgroundQuery="1" createdVersion="8" refreshedVersion="8" minRefreshableVersion="3" recordCount="0" supportSubquery="1" supportAdvancedDrill="1" xr:uid="{8E5776F4-27D8-4E67-8FE8-D7B8CF8700D2}">
  <cacheSource type="external" connectionId="1"/>
  <cacheFields count="3">
    <cacheField name="[Measures].[Sum of Quantity 3]" caption="Sum of Quantity 3" numFmtId="0" hierarchy="54" level="32767"/>
    <cacheField name="[Range].[Salesperson].[Salesperson]" caption="Salesperson" numFmtId="0" hierarchy="8" level="1">
      <sharedItems count="4">
        <s v="Alice"/>
        <s v="John"/>
        <s v="Robert"/>
        <s v="Sophia"/>
      </sharedItems>
    </cacheField>
    <cacheField name="[Range].[Category].[Category]" caption="Category" numFmtId="0" hierarchy="3" level="1">
      <sharedItems count="2">
        <s v="Accessories"/>
        <s v="Electronics"/>
      </sharedItems>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1"/>
      </fieldsUsage>
    </cacheHierarchy>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7.730490509261" backgroundQuery="1" createdVersion="8" refreshedVersion="8" minRefreshableVersion="3" recordCount="0" supportSubquery="1" supportAdvancedDrill="1" xr:uid="{82DFF9B1-CA60-48B5-8C65-9F4E62A0E27A}">
  <cacheSource type="external" connectionId="1"/>
  <cacheFields count="3">
    <cacheField name="[Measures].[Sum of Sales Amount 3]" caption="Sum of Sales Amount 3" numFmtId="0" hierarchy="53" level="32767"/>
    <cacheField name="[Table13].[Product].[Product]" caption="Product" numFmtId="0" hierarchy="30" level="1">
      <sharedItems count="5">
        <s v="Keyboard"/>
        <s v="Laptop"/>
        <s v="Monitor"/>
        <s v="Mouse"/>
        <s v="Printer"/>
      </sharedItems>
    </cacheField>
    <cacheField name="[Table13].[Target].[Target]" caption="Target" numFmtId="0" hierarchy="37" level="1">
      <sharedItems containsSemiMixedTypes="0" containsNonDate="0" containsString="0"/>
    </cacheField>
  </cacheFields>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2" memberValueDatatype="130" unbalanced="0">
      <fieldsUsage count="2">
        <fieldUsage x="-1"/>
        <fieldUsage x="1"/>
      </fieldsUsage>
    </cacheHierarchy>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2" memberValueDatatype="20" unbalanced="0">
      <fieldsUsage count="2">
        <fieldUsage x="-1"/>
        <fieldUsage x="2"/>
      </fieldsUsage>
    </cacheHierarchy>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Range" uniqueName="[Range]" caption="Range"/>
    <dimension name="Table1" uniqueName="[Table1]" caption="Table1"/>
    <dimension name="Table1_1" uniqueName="[Table1_1]" caption="Table1_1"/>
    <dimension name="Table13" uniqueName="[Table13]" caption="Table13"/>
  </dimensions>
  <measureGroups count="4">
    <measureGroup name="Range" caption="Range"/>
    <measureGroup name="Table1" caption="Table1"/>
    <measureGroup name="Table1_1" caption="Table1_1"/>
    <measureGroup name="Table13" caption="Table13"/>
  </measureGroups>
  <maps count="5">
    <map measureGroup="0"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3.485646527777" backgroundQuery="1" createdVersion="3" refreshedVersion="8" minRefreshableVersion="3" recordCount="0" supportSubquery="1" supportAdvancedDrill="1" xr:uid="{5141152E-4A8B-49EA-AC22-D84DCC58BBC1}">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3].[Order ID]" caption="Order ID" attribute="1" defaultMemberUniqueName="[Table13].[Order ID].[All]" allUniqueName="[Table13].[Order ID].[All]" dimensionUniqueName="[Table13]" displayFolder="" count="0" memberValueDatatype="130" unbalanced="0"/>
    <cacheHierarchy uniqueName="[Table13].[Order Date]" caption="Order Date" attribute="1" time="1" defaultMemberUniqueName="[Table13].[Order Date].[All]" allUniqueName="[Table13].[Order Date].[All]" dimensionUniqueName="[Table13]" displayFolder="" count="0" memberValueDatatype="7" unbalanced="0"/>
    <cacheHierarchy uniqueName="[Table13].[Product]" caption="Product" attribute="1" defaultMemberUniqueName="[Table13].[Product].[All]" allUniqueName="[Table13].[Product].[All]" dimensionUniqueName="[Table13]" displayFolder="" count="0" memberValueDatatype="130" unbalanced="0"/>
    <cacheHierarchy uniqueName="[Table13].[Category]" caption="Category" attribute="1" defaultMemberUniqueName="[Table13].[Category].[All]" allUniqueName="[Table13].[Category].[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Sales Amount]" caption="Sales Amount" attribute="1" defaultMemberUniqueName="[Table13].[Sales Amount].[All]" allUniqueName="[Table13].[Sales Amount].[All]" dimensionUniqueName="[Table13]" displayFolder="" count="0" memberValueDatatype="20" unbalanced="0"/>
    <cacheHierarchy uniqueName="[Table13].[Quantity]" caption="Quantity" attribute="1" defaultMemberUniqueName="[Table13].[Quantity].[All]" allUniqueName="[Table13].[Quantity].[All]" dimensionUniqueName="[Table13]" displayFolder="" count="0" memberValueDatatype="20" unbalanced="0"/>
    <cacheHierarchy uniqueName="[Table13].[Customer Name]" caption="Customer Name" attribute="1" defaultMemberUniqueName="[Table13].[Customer Name].[All]" allUniqueName="[Table13].[Customer Name].[All]" dimensionUniqueName="[Table13]" displayFolder="" count="0" memberValueDatatype="130" unbalanced="0"/>
    <cacheHierarchy uniqueName="[Table13].[Salesperson]" caption="Salesperson" attribute="1" defaultMemberUniqueName="[Table13].[Salesperson].[All]" allUniqueName="[Table13].[Salesperson].[All]" dimensionUniqueName="[Table13]" displayFolder="" count="0" memberValueDatatype="130" unbalanced="0"/>
    <cacheHierarchy uniqueName="[Table13].[Target]" caption="Target" attribute="1" defaultMemberUniqueName="[Table13].[Target].[All]" allUniqueName="[Table13].[Target].[All]" dimensionUniqueName="[Table13]" displayFolder="" count="0" memberValueDatatype="2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1"/>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26"/>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23"/>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5"/>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24"/>
        </ext>
      </extLst>
    </cacheHierarchy>
    <cacheHierarchy uniqueName="[Measures].[Sum of Sales Amount 3]" caption="Sum of Sales Amount 3" measure="1" displayFolder="" measureGroup="Table13" count="0" hidden="1">
      <extLst>
        <ext xmlns:x15="http://schemas.microsoft.com/office/spreadsheetml/2010/11/main" uri="{B97F6D7D-B522-45F9-BDA1-12C45D357490}">
          <x15:cacheHierarchy aggregatedColumn="33"/>
        </ext>
      </extLst>
    </cacheHierarchy>
    <cacheHierarchy uniqueName="[Measures].[Sum of Quantity 3]" caption="Sum of Quantity 3"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9407284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F8205-2883-492F-ACCC-89825450F0E3}"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person" colHeaderCaption="Category">
  <location ref="K2:N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5">
    <i>
      <x/>
    </i>
    <i>
      <x v="1"/>
    </i>
    <i>
      <x v="2"/>
    </i>
    <i>
      <x v="3"/>
    </i>
    <i t="grand">
      <x/>
    </i>
  </rowItems>
  <colFields count="1">
    <field x="2"/>
  </colFields>
  <colItems count="3">
    <i>
      <x/>
    </i>
    <i>
      <x v="1"/>
    </i>
    <i t="grand">
      <x/>
    </i>
  </colItems>
  <dataFields count="1">
    <dataField name="Sum of Quantity"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334E36-68EB-495D-BC90-5732DFC9C40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P4:Q10"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37" name="[Table13].[Target].[All]" cap="All"/>
  </pageFields>
  <dataFields count="1">
    <dataField name="Sum of Sales Amount" fld="0" baseField="0" baseItem="0" numFmtId="165"/>
  </dataFields>
  <formats count="1">
    <format dxfId="1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4FD50-5DEC-407C-BE58-90E19762103F}"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Quantity Sold" fld="0" baseField="0" baseItem="0"/>
  </dataFields>
  <formats count="5">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dataOnly="0" outline="0" axis="axisValues" fieldPosition="0"/>
    </format>
    <format dxfId="112">
      <pivotArea dataOnly="0"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ntity Sol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CDA20C-B4C4-46B9-A374-1C0D8EF34A27}"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38421-F036-4747-AB6B-C2A653AEAA81}" name="PivotTable1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Amount" fld="0" baseField="0" baseItem="0" numFmtId="164"/>
  </dataFields>
  <formats count="9">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dataOnly="0" outline="0" axis="axisValues" fieldPosition="0"/>
    </format>
    <format dxfId="121">
      <pivotArea dataOnly="0" outline="0" axis="axisValues"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28BEA8-75D5-468A-A63E-79F3F8043538}"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9:C14"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2"/>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38B45-832D-41E3-A97F-B9362915937B}"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9:F70" firstHeaderRow="1" firstDataRow="1" firstDataCol="1"/>
  <pivotFields count="4">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4A76BD-880A-4B11-93DA-6250597E500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9:C25"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2"/>
    </i>
    <i>
      <x v="3"/>
    </i>
    <i t="grand">
      <x/>
    </i>
  </rowItems>
  <colItems count="1">
    <i/>
  </colItems>
  <dataFields count="1">
    <dataField name="Sum of Sales 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F6E4C6-BD52-4A50-B341-4A3D5DAF2466}"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L9:M1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Amount" fld="1"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D2843E-67EC-407C-858C-BF998D7CE38E}"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J16" firstHeaderRow="1" firstDataRow="2" firstDataCol="1"/>
  <pivotFields count="5">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5">
    <i>
      <x/>
    </i>
    <i>
      <x v="1"/>
    </i>
    <i>
      <x v="2"/>
    </i>
    <i>
      <x v="3"/>
    </i>
    <i t="grand">
      <x/>
    </i>
  </colItems>
  <dataFields count="1">
    <dataField name="Sum of Sales Amount"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212E05-ECDE-4538-BEB3-F47695DBFA01}"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Q5:S26"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Quantity Sold" fld="2" baseField="1" baseItem="0"/>
    <dataField name="Sales Amount" fld="3" baseField="1" baseItem="0"/>
  </dataFields>
  <formats count="103">
    <format dxfId="111">
      <pivotArea field="1" type="button" dataOnly="0" labelOnly="1" outline="0" axis="axisRow" fieldPosition="0"/>
    </format>
    <format dxfId="110">
      <pivotArea dataOnly="0" labelOnly="1" fieldPosition="0">
        <references count="1">
          <reference field="1" count="1">
            <x v="0"/>
          </reference>
        </references>
      </pivotArea>
    </format>
    <format dxfId="109">
      <pivotArea dataOnly="0" labelOnly="1" fieldPosition="0">
        <references count="1">
          <reference field="1" count="1">
            <x v="1"/>
          </reference>
        </references>
      </pivotArea>
    </format>
    <format dxfId="108">
      <pivotArea dataOnly="0" labelOnly="1" fieldPosition="0">
        <references count="1">
          <reference field="1" count="1">
            <x v="2"/>
          </reference>
        </references>
      </pivotArea>
    </format>
    <format dxfId="107">
      <pivotArea dataOnly="0" labelOnly="1" fieldPosition="0">
        <references count="1">
          <reference field="1" count="1">
            <x v="3"/>
          </reference>
        </references>
      </pivotArea>
    </format>
    <format dxfId="106">
      <pivotArea dataOnly="0" labelOnly="1" grandRow="1" outline="0" fieldPosition="0"/>
    </format>
    <format dxfId="105">
      <pivotArea dataOnly="0" labelOnly="1" fieldPosition="0">
        <references count="1">
          <reference field="1" count="1">
            <x v="0"/>
          </reference>
        </references>
      </pivotArea>
    </format>
    <format dxfId="104">
      <pivotArea dataOnly="0" labelOnly="1" fieldPosition="0">
        <references count="1">
          <reference field="1" count="1">
            <x v="1"/>
          </reference>
        </references>
      </pivotArea>
    </format>
    <format dxfId="103">
      <pivotArea dataOnly="0" labelOnly="1" fieldPosition="0">
        <references count="1">
          <reference field="1" count="1">
            <x v="2"/>
          </reference>
        </references>
      </pivotArea>
    </format>
    <format dxfId="102">
      <pivotArea dataOnly="0" labelOnly="1" fieldPosition="0">
        <references count="1">
          <reference field="1" count="1">
            <x v="3"/>
          </reference>
        </references>
      </pivotArea>
    </format>
    <format dxfId="101">
      <pivotArea dataOnly="0" labelOnly="1" grandRow="1" outline="0" fieldPosition="0"/>
    </format>
    <format dxfId="100">
      <pivotArea field="1" type="button" dataOnly="0" labelOnly="1" outline="0" axis="axisRow" fieldPosition="0"/>
    </format>
    <format dxfId="99">
      <pivotArea field="1" type="button" dataOnly="0" labelOnly="1" outline="0" axis="axisRow" fieldPosition="0"/>
    </format>
    <format dxfId="98">
      <pivotArea field="1" type="button" dataOnly="0" labelOnly="1" outline="0" axis="axisRow" fieldPosition="0"/>
    </format>
    <format dxfId="97">
      <pivotArea dataOnly="0" labelOnly="1" fieldPosition="0">
        <references count="1">
          <reference field="1" count="1">
            <x v="0"/>
          </reference>
        </references>
      </pivotArea>
    </format>
    <format dxfId="96">
      <pivotArea dataOnly="0" labelOnly="1" fieldPosition="0">
        <references count="1">
          <reference field="1" count="1">
            <x v="1"/>
          </reference>
        </references>
      </pivotArea>
    </format>
    <format dxfId="95">
      <pivotArea dataOnly="0" labelOnly="1" fieldPosition="0">
        <references count="1">
          <reference field="1" count="1">
            <x v="2"/>
          </reference>
        </references>
      </pivotArea>
    </format>
    <format dxfId="94">
      <pivotArea dataOnly="0" labelOnly="1" fieldPosition="0">
        <references count="1">
          <reference field="1" count="1">
            <x v="3"/>
          </reference>
        </references>
      </pivotArea>
    </format>
    <format dxfId="93">
      <pivotArea dataOnly="0" labelOnly="1" grandRow="1" outline="0" fieldPosition="0"/>
    </format>
    <format dxfId="92">
      <pivotArea dataOnly="0" labelOnly="1" fieldPosition="0">
        <references count="1">
          <reference field="1" count="1">
            <x v="0"/>
          </reference>
        </references>
      </pivotArea>
    </format>
    <format dxfId="91">
      <pivotArea dataOnly="0" labelOnly="1" fieldPosition="0">
        <references count="1">
          <reference field="1" count="1">
            <x v="1"/>
          </reference>
        </references>
      </pivotArea>
    </format>
    <format dxfId="90">
      <pivotArea dataOnly="0" labelOnly="1" fieldPosition="0">
        <references count="1">
          <reference field="1" count="1">
            <x v="2"/>
          </reference>
        </references>
      </pivotArea>
    </format>
    <format dxfId="89">
      <pivotArea dataOnly="0" labelOnly="1" fieldPosition="0">
        <references count="1">
          <reference field="1" count="1">
            <x v="3"/>
          </reference>
        </references>
      </pivotArea>
    </format>
    <format dxfId="88">
      <pivotArea dataOnly="0" labelOnly="1" grandRow="1" outline="0" fieldPosition="0"/>
    </format>
    <format dxfId="87">
      <pivotArea dataOnly="0" labelOnly="1" outline="0" fieldPosition="0">
        <references count="1">
          <reference field="4294967294" count="1">
            <x v="1"/>
          </reference>
        </references>
      </pivotArea>
    </format>
    <format dxfId="86">
      <pivotArea dataOnly="0" labelOnly="1" outline="0" fieldPosition="0">
        <references count="1">
          <reference field="4294967294" count="1">
            <x v="0"/>
          </reference>
        </references>
      </pivotArea>
    </format>
    <format dxfId="85">
      <pivotArea dataOnly="0" labelOnly="1" outline="0" fieldPosition="0">
        <references count="1">
          <reference field="4294967294" count="1">
            <x v="1"/>
          </reference>
        </references>
      </pivotArea>
    </format>
    <format dxfId="84">
      <pivotArea dataOnly="0" labelOnly="1" outline="0" fieldPosition="0">
        <references count="1">
          <reference field="4294967294" count="1">
            <x v="0"/>
          </reference>
        </references>
      </pivotArea>
    </format>
    <format dxfId="83">
      <pivotArea dataOnly="0" labelOnly="1" outline="0" fieldPosition="0">
        <references count="1">
          <reference field="4294967294" count="1">
            <x v="1"/>
          </reference>
        </references>
      </pivotArea>
    </format>
    <format dxfId="82">
      <pivotArea dataOnly="0" labelOnly="1" outline="0" fieldPosition="0">
        <references count="1">
          <reference field="4294967294" count="1">
            <x v="0"/>
          </reference>
        </references>
      </pivotArea>
    </format>
    <format dxfId="81">
      <pivotArea dataOnly="0" labelOnly="1" outline="0" fieldPosition="0">
        <references count="1">
          <reference field="4294967294" count="1">
            <x v="1"/>
          </reference>
        </references>
      </pivotArea>
    </format>
    <format dxfId="80">
      <pivotArea dataOnly="0" labelOnly="1" outline="0" fieldPosition="0">
        <references count="1">
          <reference field="4294967294" count="1">
            <x v="0"/>
          </reference>
        </references>
      </pivotArea>
    </format>
    <format dxfId="79">
      <pivotArea field="1" grandRow="1" outline="0" collapsedLevelsAreSubtotals="1" axis="axisRow" fieldPosition="0">
        <references count="1">
          <reference field="4294967294" count="1" selected="0">
            <x v="0"/>
          </reference>
        </references>
      </pivotArea>
    </format>
    <format dxfId="78">
      <pivotArea field="1" grandRow="1" outline="0" collapsedLevelsAreSubtotals="1" axis="axisRow" fieldPosition="0">
        <references count="1">
          <reference field="4294967294" count="1" selected="0">
            <x v="1"/>
          </reference>
        </references>
      </pivotArea>
    </format>
    <format dxfId="77">
      <pivotArea field="1" grandRow="1" outline="0" collapsedLevelsAreSubtotals="1" axis="axisRow" fieldPosition="0">
        <references count="1">
          <reference field="4294967294" count="1" selected="0">
            <x v="0"/>
          </reference>
        </references>
      </pivotArea>
    </format>
    <format dxfId="76">
      <pivotArea field="1" grandRow="1" outline="0" collapsedLevelsAreSubtotals="1" axis="axisRow" fieldPosition="0">
        <references count="1">
          <reference field="4294967294" count="1" selected="0">
            <x v="1"/>
          </reference>
        </references>
      </pivotArea>
    </format>
    <format dxfId="75">
      <pivotArea field="1" grandRow="1" outline="0" collapsedLevelsAreSubtotals="1" axis="axisRow" fieldPosition="0">
        <references count="1">
          <reference field="4294967294" count="1" selected="0">
            <x v="0"/>
          </reference>
        </references>
      </pivotArea>
    </format>
    <format dxfId="74">
      <pivotArea field="1" grandRow="1" outline="0" collapsedLevelsAreSubtotals="1" axis="axisRow" fieldPosition="0">
        <references count="1">
          <reference field="4294967294" count="1" selected="0">
            <x v="1"/>
          </reference>
        </references>
      </pivotArea>
    </format>
    <format dxfId="73">
      <pivotArea field="1" grandRow="1" outline="0" collapsedLevelsAreSubtotals="1" axis="axisRow" fieldPosition="0">
        <references count="1">
          <reference field="4294967294" count="1" selected="0">
            <x v="0"/>
          </reference>
        </references>
      </pivotArea>
    </format>
    <format dxfId="72">
      <pivotArea field="1" grandRow="1" outline="0" collapsedLevelsAreSubtotals="1" axis="axisRow" fieldPosition="0">
        <references count="1">
          <reference field="4294967294" count="1" selected="0">
            <x v="1"/>
          </reference>
        </references>
      </pivotArea>
    </format>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fieldPosition="0">
        <references count="2">
          <reference field="0" count="0"/>
          <reference field="1" count="1" selected="0">
            <x v="0"/>
          </reference>
        </references>
      </pivotArea>
    </format>
    <format dxfId="65">
      <pivotArea dataOnly="0" labelOnly="1" fieldPosition="0">
        <references count="2">
          <reference field="0" count="0"/>
          <reference field="1" count="1" selected="0">
            <x v="1"/>
          </reference>
        </references>
      </pivotArea>
    </format>
    <format dxfId="64">
      <pivotArea dataOnly="0" labelOnly="1" fieldPosition="0">
        <references count="2">
          <reference field="0" count="0"/>
          <reference field="1" count="1" selected="0">
            <x v="2"/>
          </reference>
        </references>
      </pivotArea>
    </format>
    <format dxfId="63">
      <pivotArea dataOnly="0" labelOnly="1" fieldPosition="0">
        <references count="2">
          <reference field="0" count="0"/>
          <reference field="1" count="1" selected="0">
            <x v="3"/>
          </reference>
        </references>
      </pivotArea>
    </format>
    <format dxfId="62">
      <pivotArea dataOnly="0" labelOnly="1" outline="0" fieldPosition="0">
        <references count="1">
          <reference field="4294967294" count="2">
            <x v="0"/>
            <x v="1"/>
          </reference>
        </references>
      </pivotArea>
    </format>
    <format dxfId="61">
      <pivotArea type="all" dataOnly="0" outline="0" fieldPosition="0"/>
    </format>
    <format dxfId="60">
      <pivotArea collapsedLevelsAreSubtotals="1" fieldPosition="0">
        <references count="3">
          <reference field="4294967294" count="1" selected="0">
            <x v="1"/>
          </reference>
          <reference field="0" count="0"/>
          <reference field="1" count="1" selected="0">
            <x v="0"/>
          </reference>
        </references>
      </pivotArea>
    </format>
    <format dxfId="59">
      <pivotArea collapsedLevelsAreSubtotals="1" fieldPosition="0">
        <references count="2">
          <reference field="4294967294" count="1" selected="0">
            <x v="1"/>
          </reference>
          <reference field="1" count="1">
            <x v="1"/>
          </reference>
        </references>
      </pivotArea>
    </format>
    <format dxfId="58">
      <pivotArea collapsedLevelsAreSubtotals="1" fieldPosition="0">
        <references count="3">
          <reference field="4294967294" count="1" selected="0">
            <x v="1"/>
          </reference>
          <reference field="0" count="0"/>
          <reference field="1" count="1" selected="0">
            <x v="1"/>
          </reference>
        </references>
      </pivotArea>
    </format>
    <format dxfId="57">
      <pivotArea collapsedLevelsAreSubtotals="1" fieldPosition="0">
        <references count="2">
          <reference field="4294967294" count="1" selected="0">
            <x v="1"/>
          </reference>
          <reference field="1" count="1">
            <x v="2"/>
          </reference>
        </references>
      </pivotArea>
    </format>
    <format dxfId="56">
      <pivotArea collapsedLevelsAreSubtotals="1" fieldPosition="0">
        <references count="3">
          <reference field="4294967294" count="1" selected="0">
            <x v="1"/>
          </reference>
          <reference field="0" count="0"/>
          <reference field="1" count="1" selected="0">
            <x v="2"/>
          </reference>
        </references>
      </pivotArea>
    </format>
    <format dxfId="55">
      <pivotArea collapsedLevelsAreSubtotals="1" fieldPosition="0">
        <references count="2">
          <reference field="4294967294" count="1" selected="0">
            <x v="1"/>
          </reference>
          <reference field="1" count="1">
            <x v="3"/>
          </reference>
        </references>
      </pivotArea>
    </format>
    <format dxfId="54">
      <pivotArea collapsedLevelsAreSubtotals="1" fieldPosition="0">
        <references count="3">
          <reference field="4294967294" count="1" selected="0">
            <x v="1"/>
          </reference>
          <reference field="0" count="0"/>
          <reference field="1" count="1" selected="0">
            <x v="3"/>
          </reference>
        </references>
      </pivotArea>
    </format>
    <format dxfId="53">
      <pivotArea field="1" grandRow="1" outline="0" collapsedLevelsAreSubtotals="1" axis="axisRow" fieldPosition="0">
        <references count="1">
          <reference field="4294967294" count="1" selected="0">
            <x v="1"/>
          </reference>
        </references>
      </pivotArea>
    </format>
    <format dxfId="52">
      <pivotArea collapsedLevelsAreSubtotals="1" fieldPosition="0">
        <references count="3">
          <reference field="4294967294" count="1" selected="0">
            <x v="0"/>
          </reference>
          <reference field="0" count="0"/>
          <reference field="1" count="1" selected="0">
            <x v="0"/>
          </reference>
        </references>
      </pivotArea>
    </format>
    <format dxfId="51">
      <pivotArea collapsedLevelsAreSubtotals="1" fieldPosition="0">
        <references count="2">
          <reference field="4294967294" count="1" selected="0">
            <x v="0"/>
          </reference>
          <reference field="1" count="1">
            <x v="1"/>
          </reference>
        </references>
      </pivotArea>
    </format>
    <format dxfId="50">
      <pivotArea collapsedLevelsAreSubtotals="1" fieldPosition="0">
        <references count="3">
          <reference field="4294967294" count="1" selected="0">
            <x v="0"/>
          </reference>
          <reference field="0" count="0"/>
          <reference field="1" count="1" selected="0">
            <x v="1"/>
          </reference>
        </references>
      </pivotArea>
    </format>
    <format dxfId="49">
      <pivotArea collapsedLevelsAreSubtotals="1" fieldPosition="0">
        <references count="2">
          <reference field="4294967294" count="1" selected="0">
            <x v="0"/>
          </reference>
          <reference field="1" count="1">
            <x v="2"/>
          </reference>
        </references>
      </pivotArea>
    </format>
    <format dxfId="48">
      <pivotArea collapsedLevelsAreSubtotals="1" fieldPosition="0">
        <references count="3">
          <reference field="4294967294" count="1" selected="0">
            <x v="0"/>
          </reference>
          <reference field="0" count="0"/>
          <reference field="1" count="1" selected="0">
            <x v="2"/>
          </reference>
        </references>
      </pivotArea>
    </format>
    <format dxfId="47">
      <pivotArea collapsedLevelsAreSubtotals="1" fieldPosition="0">
        <references count="2">
          <reference field="4294967294" count="1" selected="0">
            <x v="0"/>
          </reference>
          <reference field="1" count="1">
            <x v="3"/>
          </reference>
        </references>
      </pivotArea>
    </format>
    <format dxfId="46">
      <pivotArea collapsedLevelsAreSubtotals="1" fieldPosition="0">
        <references count="3">
          <reference field="4294967294" count="1" selected="0">
            <x v="0"/>
          </reference>
          <reference field="0" count="0"/>
          <reference field="1" count="1" selected="0">
            <x v="3"/>
          </reference>
        </references>
      </pivotArea>
    </format>
    <format dxfId="45">
      <pivotArea field="1" grandRow="1" outline="0" collapsedLevelsAreSubtotals="1" axis="axisRow" fieldPosition="0">
        <references count="1">
          <reference field="4294967294" count="1" selected="0">
            <x v="0"/>
          </reference>
        </references>
      </pivotArea>
    </format>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grandRow="1" outline="0" fieldPosition="0"/>
    </format>
    <format dxfId="39">
      <pivotArea dataOnly="0" labelOnly="1" fieldPosition="0">
        <references count="2">
          <reference field="0" count="0"/>
          <reference field="1" count="1" selected="0">
            <x v="0"/>
          </reference>
        </references>
      </pivotArea>
    </format>
    <format dxfId="38">
      <pivotArea dataOnly="0" labelOnly="1" fieldPosition="0">
        <references count="2">
          <reference field="0" count="0"/>
          <reference field="1" count="1" selected="0">
            <x v="1"/>
          </reference>
        </references>
      </pivotArea>
    </format>
    <format dxfId="37">
      <pivotArea dataOnly="0" labelOnly="1" fieldPosition="0">
        <references count="2">
          <reference field="0" count="0"/>
          <reference field="1" count="1" selected="0">
            <x v="2"/>
          </reference>
        </references>
      </pivotArea>
    </format>
    <format dxfId="36">
      <pivotArea dataOnly="0" labelOnly="1" fieldPosition="0">
        <references count="2">
          <reference field="0" count="0"/>
          <reference field="1" count="1" selected="0">
            <x v="3"/>
          </reference>
        </references>
      </pivotArea>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fieldPosition="0">
        <references count="2">
          <reference field="0" count="0"/>
          <reference field="1" count="1" selected="0">
            <x v="0"/>
          </reference>
        </references>
      </pivotArea>
    </format>
    <format dxfId="28">
      <pivotArea dataOnly="0" labelOnly="1" fieldPosition="0">
        <references count="2">
          <reference field="0" count="0"/>
          <reference field="1" count="1" selected="0">
            <x v="1"/>
          </reference>
        </references>
      </pivotArea>
    </format>
    <format dxfId="27">
      <pivotArea dataOnly="0" labelOnly="1" fieldPosition="0">
        <references count="2">
          <reference field="0" count="0"/>
          <reference field="1" count="1" selected="0">
            <x v="2"/>
          </reference>
        </references>
      </pivotArea>
    </format>
    <format dxfId="26">
      <pivotArea dataOnly="0" labelOnly="1" fieldPosition="0">
        <references count="2">
          <reference field="0" count="0"/>
          <reference field="1" count="1" selected="0">
            <x v="3"/>
          </reference>
        </references>
      </pivotArea>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fieldPosition="0">
        <references count="2">
          <reference field="0" count="0"/>
          <reference field="1" count="1" selected="0">
            <x v="0"/>
          </reference>
        </references>
      </pivotArea>
    </format>
    <format dxfId="18">
      <pivotArea dataOnly="0" labelOnly="1" fieldPosition="0">
        <references count="2">
          <reference field="0" count="0"/>
          <reference field="1" count="1" selected="0">
            <x v="1"/>
          </reference>
        </references>
      </pivotArea>
    </format>
    <format dxfId="17">
      <pivotArea dataOnly="0" labelOnly="1" fieldPosition="0">
        <references count="2">
          <reference field="0" count="0"/>
          <reference field="1" count="1" selected="0">
            <x v="2"/>
          </reference>
        </references>
      </pivotArea>
    </format>
    <format dxfId="16">
      <pivotArea dataOnly="0" labelOnly="1" fieldPosition="0">
        <references count="2">
          <reference field="0" count="0"/>
          <reference field="1" count="1" selected="0">
            <x v="3"/>
          </reference>
        </references>
      </pivotArea>
    </format>
    <format dxfId="15">
      <pivotArea dataOnly="0" labelOnly="1" outline="0" fieldPosition="0">
        <references count="1">
          <reference field="4294967294" count="2">
            <x v="0"/>
            <x v="1"/>
          </reference>
        </references>
      </pivotArea>
    </format>
    <format dxfId="14">
      <pivotArea dataOnly="0" labelOnly="1" outline="0" fieldPosition="0">
        <references count="1">
          <reference field="4294967294" count="1">
            <x v="1"/>
          </reference>
        </references>
      </pivotArea>
    </format>
    <format dxfId="13">
      <pivotArea dataOnly="0" labelOnly="1" outline="0" fieldPosition="0">
        <references count="1">
          <reference field="4294967294" count="1">
            <x v="1"/>
          </reference>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4294967294" count="1">
            <x v="0"/>
          </reference>
        </references>
      </pivotArea>
    </format>
    <format dxfId="10">
      <pivotArea field="1" type="button" dataOnly="0" labelOnly="1" outline="0" axis="axisRow" fieldPosition="0"/>
    </format>
    <format dxfId="9">
      <pivotArea field="1" type="button" dataOnly="0" labelOnly="1" outline="0" axis="axisRow"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ales Amount"/>
    <pivotHierarchy dragToData="1"/>
    <pivotHierarchy dragToData="1"/>
    <pivotHierarchy dragToData="1" caption="Quantity Sold"/>
    <pivotHierarchy dragToData="1"/>
    <pivotHierarchy dragToData="1"/>
  </pivotHierarchies>
  <pivotTableStyleInfo showRowHeaders="1" showColHeaders="1" showRowStripes="0" showColStripes="0" showLastColumn="1"/>
  <rowHierarchiesUsage count="2">
    <rowHierarchyUsage hierarchyUsage="22"/>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1457D4-0DF0-4ADD-A938-081BF539E03B}" sourceName="[Table1_1].[Region]">
  <pivotTables>
    <pivotTable tabId="2" name="PivotTable10"/>
    <pivotTable tabId="2" name="PivotTable3"/>
    <pivotTable tabId="2" name="PivotTable4"/>
    <pivotTable tabId="2" name="PivotTable7"/>
    <pivotTable tabId="2" name="PivotTable8"/>
    <pivotTable tabId="2" name="PivotTable1"/>
    <pivotTable tabId="2" name="PivotTable5"/>
    <pivotTable tabId="2" name="PivotTable9"/>
    <pivotTable tabId="3" name="PivotTable10"/>
  </pivotTables>
  <data>
    <olap pivotCacheId="1940728400">
      <levels count="2">
        <level uniqueName="[Table1_1].[Region].[(All)]" sourceCaption="(All)" count="0"/>
        <level uniqueName="[Table1_1].[Region].[Region]" sourceCaption="Region" count="4">
          <ranges>
            <range startItem="0">
              <i n="[Table1_1].[Region].&amp;[East]" c="East"/>
              <i n="[Table1_1].[Region].&amp;[North]" c="North"/>
              <i n="[Table1_1].[Region].&amp;[South]" c="South"/>
              <i n="[Table1_1].[Region].&amp;[West]" c="West"/>
            </range>
          </ranges>
        </level>
      </levels>
      <selections count="1">
        <selection n="[Table1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54BB374-83ED-40DD-B547-179A4E5B50F6}" sourceName="[Table1_1].[Product]">
  <pivotTables>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 tabId="3" name="PivotTable10"/>
  </pivotTables>
  <data>
    <olap pivotCacheId="1940728400">
      <levels count="2">
        <level uniqueName="[Table1_1].[Product].[(All)]" sourceCaption="(All)" count="0"/>
        <level uniqueName="[Table1_1].[Product].[Product]" sourceCaption="Product" count="5">
          <ranges>
            <range startItem="0">
              <i n="[Table1_1].[Product].&amp;[Keyboard]" c="Keyboard"/>
              <i n="[Table1_1].[Product].&amp;[Laptop]" c="Laptop"/>
              <i n="[Table1_1].[Product].&amp;[Monitor]" c="Monitor"/>
              <i n="[Table1_1].[Product].&amp;[Mouse]" c="Mouse"/>
              <i n="[Table1_1].[Product].&amp;[Printer]" c="Printer"/>
            </range>
          </ranges>
        </level>
      </levels>
      <selections count="1">
        <selection n="[Table1_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2E2A28-D3E8-4BC2-8FF2-5E6F64CD8DAF}" cache="Slicer_Region" caption="Region" level="1" style="SlicerStyleDark1" lockedPosition="1" rowHeight="257175"/>
  <slicer name="Product" xr10:uid="{AA9E43AB-E928-4291-AB48-B7E5CA422A74}" cache="Slicer_Product" caption="Product" level="1" style="SlicerStyleDark1"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87AA6B-52BC-46DC-AFF2-E6C4A9B62463}" name="Table1" displayName="Table1_1" ref="A1:I51" totalsRowShown="0" headerRowDxfId="162" headerRowBorderDxfId="161" tableBorderDxfId="160">
  <autoFilter ref="A1:I51" xr:uid="{8F87AA6B-52BC-46DC-AFF2-E6C4A9B62463}"/>
  <sortState xmlns:xlrd2="http://schemas.microsoft.com/office/spreadsheetml/2017/richdata2" ref="A2:I51">
    <sortCondition ref="E1:E51"/>
  </sortState>
  <tableColumns count="9">
    <tableColumn id="1" xr3:uid="{E369A43F-692E-4E95-920E-D6972A9A844A}" name="Order ID"/>
    <tableColumn id="2" xr3:uid="{2A371305-424D-40D2-965D-07CDC23F3987}" name="Order Date" dataDxfId="159"/>
    <tableColumn id="3" xr3:uid="{729057B9-4F56-4EDD-998F-4B7E16FB6AB8}" name="Product"/>
    <tableColumn id="4" xr3:uid="{26CDF4AA-1B11-4CBC-8E5D-594A1AA43D78}" name="Category"/>
    <tableColumn id="5" xr3:uid="{2CACC534-1001-4721-9C0D-5E6413E75669}" name="Region"/>
    <tableColumn id="6" xr3:uid="{59C20401-3435-43B8-B141-6C3F4A993CA4}" name="Sales Amount"/>
    <tableColumn id="7" xr3:uid="{A96881EF-D09C-4312-A29B-24F5D124E43E}" name="Quantity"/>
    <tableColumn id="8" xr3:uid="{23F2FB91-3EDD-4001-BBDC-5EAD517DEBC4}" name="Customer Name"/>
    <tableColumn id="9" xr3:uid="{BC7E5EA3-C59D-4A06-B2CA-2FA3E862FEE2}" name="Salesperson"/>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88F644-68BC-4E74-9638-E347B406F71F}" name="Table2" displayName="Table2" ref="A1:J51" totalsRowShown="0" headerRowDxfId="7" headerRowBorderDxfId="8" tableBorderDxfId="158">
  <autoFilter ref="A1:J51" xr:uid="{C82152A7-28C9-4B1B-8F1C-63912C75D1B4}"/>
  <tableColumns count="10">
    <tableColumn id="1" xr3:uid="{EF8DF27D-3870-4B51-9089-66AB1E9F9396}" name="Order ID" dataDxfId="157"/>
    <tableColumn id="2" xr3:uid="{9BA158A9-7F21-4DF6-BC4A-F04AB59B3C4D}" name="Order Date" dataDxfId="156"/>
    <tableColumn id="3" xr3:uid="{14D8FF0F-854B-47C3-8A6F-370CE51ABCE9}" name="Product" dataDxfId="155"/>
    <tableColumn id="4" xr3:uid="{76201BDE-FD92-406D-AC73-8725E7141970}" name="Category" dataDxfId="154"/>
    <tableColumn id="5" xr3:uid="{CC9E814C-AB9A-4B27-A7F8-578F9BC4363C}" name="Region" dataDxfId="153"/>
    <tableColumn id="6" xr3:uid="{863746CC-DF9B-4A3F-99D2-2843E673C0BC}" name="Sales Amount" dataDxfId="152" dataCellStyle="Comma"/>
    <tableColumn id="7" xr3:uid="{3C6DF1EF-A023-4C94-A23D-CB1734165F01}" name="Quantity" dataDxfId="151"/>
    <tableColumn id="8" xr3:uid="{F2A3518E-05A0-4968-A950-03C36D4AD840}" name="Customer Name" dataDxfId="150"/>
    <tableColumn id="9" xr3:uid="{63CD0B32-50C7-4D81-AF8D-10D91178BBDB}" name="Salesperson" dataDxfId="149"/>
    <tableColumn id="10" xr3:uid="{A995ECA4-345E-4C5D-B92D-437FEC97F04A}" name="Target" dataDxfId="148">
      <calculatedColumnFormula>(F2&gt;2000)*1</calculatedColumnFormula>
    </tableColumn>
  </tableColumns>
  <tableStyleInfo name="TableStyleLight1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E7282B-BAEA-46C3-9717-67CFCCCE1C50}" name="Table13_1" displayName="Table13_1" ref="A1:I51" headerRowDxfId="6" dataDxfId="146" headerRowBorderDxfId="147" tableBorderDxfId="145">
  <autoFilter ref="A1:I51" xr:uid="{58A89939-5894-43DD-BD10-5AA794B4CDFE}"/>
  <sortState xmlns:xlrd2="http://schemas.microsoft.com/office/spreadsheetml/2017/richdata2" ref="A2:I51">
    <sortCondition ref="E1:E51"/>
  </sortState>
  <tableColumns count="9">
    <tableColumn id="1" xr3:uid="{90929F4F-9C6C-4FF9-ABE0-87AEAFD7AE94}" name="Order ID" totalsRowLabel="Total" dataDxfId="144" totalsRowDxfId="143"/>
    <tableColumn id="2" xr3:uid="{DAE5E2B2-2C4C-4EF6-AF9A-61155BC34188}" name="Order Date" dataDxfId="142" totalsRowDxfId="141"/>
    <tableColumn id="3" xr3:uid="{B93AD150-2B74-4BFE-8449-B828A319B060}" name="Product" dataDxfId="140" totalsRowDxfId="139"/>
    <tableColumn id="4" xr3:uid="{9AB245B4-514D-460B-B7FA-A6AB3ECAACF9}" name="Category" dataDxfId="138" totalsRowDxfId="137"/>
    <tableColumn id="5" xr3:uid="{AF53A71C-77D5-4429-AE47-14BECABA339A}" name="Region" dataDxfId="136" totalsRowDxfId="135"/>
    <tableColumn id="6" xr3:uid="{778E81B7-AAB6-457A-A1A1-6537ED960AE7}" name="Sales Amount" dataDxfId="134" totalsRowDxfId="133" dataCellStyle="Comma"/>
    <tableColumn id="7" xr3:uid="{58742C3D-BD3B-43EB-8C87-23F9CC5D00DF}" name="Quantity" dataDxfId="132" totalsRowDxfId="131"/>
    <tableColumn id="8" xr3:uid="{997C22F8-AC4F-4B22-8F86-1DB448F4CBCA}" name="Customer Name" dataDxfId="130" totalsRowDxfId="129"/>
    <tableColumn id="9" xr3:uid="{1367CBAD-B190-4382-830F-239EE7612896}" name="Salesperson" totalsRowFunction="count" dataDxfId="128" totalsRowDxfId="127"/>
  </tableColumns>
  <tableStyleInfo name="TableStyleLight1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EF10-0CEC-45B5-B4BF-AA64E16BA86F}">
  <dimension ref="A1:S51"/>
  <sheetViews>
    <sheetView tabSelected="1" workbookViewId="0">
      <selection activeCell="H20" sqref="H20"/>
    </sheetView>
  </sheetViews>
  <sheetFormatPr defaultRowHeight="15" x14ac:dyDescent="0.25"/>
  <cols>
    <col min="1" max="1" width="12.5703125" customWidth="1"/>
    <col min="2" max="2" width="17.7109375" style="7" bestFit="1" customWidth="1"/>
    <col min="3" max="3" width="12.5703125" customWidth="1"/>
    <col min="4" max="4" width="14.140625" customWidth="1"/>
    <col min="5" max="5" width="11.140625" customWidth="1"/>
    <col min="6" max="6" width="18.7109375" customWidth="1"/>
    <col min="7" max="7" width="13.7109375" customWidth="1"/>
    <col min="8" max="8" width="22.28515625" customWidth="1"/>
    <col min="9" max="9" width="18.85546875" customWidth="1"/>
    <col min="17" max="17" width="20.7109375" customWidth="1"/>
  </cols>
  <sheetData>
    <row r="1" spans="1:19" x14ac:dyDescent="0.25">
      <c r="A1" s="1" t="s">
        <v>0</v>
      </c>
      <c r="B1" s="6" t="s">
        <v>1</v>
      </c>
      <c r="C1" s="1" t="s">
        <v>2</v>
      </c>
      <c r="D1" s="1" t="s">
        <v>3</v>
      </c>
      <c r="E1" s="1" t="s">
        <v>4</v>
      </c>
      <c r="F1" s="1" t="s">
        <v>5</v>
      </c>
      <c r="G1" s="1" t="s">
        <v>6</v>
      </c>
      <c r="H1" s="1" t="s">
        <v>7</v>
      </c>
      <c r="I1" s="1" t="s">
        <v>8</v>
      </c>
      <c r="N1" s="77" t="s">
        <v>92</v>
      </c>
      <c r="O1" s="78"/>
      <c r="P1" s="78"/>
      <c r="Q1" s="78"/>
      <c r="R1" s="78"/>
      <c r="S1" s="2"/>
    </row>
    <row r="2" spans="1:19" x14ac:dyDescent="0.25">
      <c r="A2" t="s">
        <v>83</v>
      </c>
      <c r="B2" s="7">
        <v>45333</v>
      </c>
      <c r="C2" t="s">
        <v>16</v>
      </c>
      <c r="D2" t="s">
        <v>11</v>
      </c>
      <c r="E2" t="s">
        <v>17</v>
      </c>
      <c r="F2">
        <v>297</v>
      </c>
      <c r="G2">
        <v>4</v>
      </c>
      <c r="H2" t="s">
        <v>22</v>
      </c>
      <c r="I2" t="s">
        <v>19</v>
      </c>
      <c r="N2" s="79" t="s">
        <v>93</v>
      </c>
      <c r="O2" s="80"/>
      <c r="P2" s="80"/>
      <c r="Q2" s="80"/>
      <c r="R2" s="3" t="str">
        <f>INDEX(E1:E26, MODE(MATCH(E1:E26, E1:E26, 0)))</f>
        <v>East</v>
      </c>
      <c r="S2" s="4"/>
    </row>
    <row r="3" spans="1:19" x14ac:dyDescent="0.25">
      <c r="A3" t="s">
        <v>86</v>
      </c>
      <c r="B3" s="7">
        <v>45336</v>
      </c>
      <c r="C3" t="s">
        <v>30</v>
      </c>
      <c r="D3" t="s">
        <v>26</v>
      </c>
      <c r="E3" t="s">
        <v>17</v>
      </c>
      <c r="F3">
        <v>708</v>
      </c>
      <c r="G3">
        <v>4</v>
      </c>
      <c r="H3" t="s">
        <v>35</v>
      </c>
      <c r="I3" t="s">
        <v>42</v>
      </c>
      <c r="N3" s="81" t="s">
        <v>94</v>
      </c>
      <c r="O3" s="82"/>
      <c r="P3" s="82"/>
      <c r="Q3" s="82"/>
      <c r="R3" s="5">
        <f>AVERAGE(F2:F51)</f>
        <v>2806</v>
      </c>
      <c r="S3" s="4"/>
    </row>
    <row r="4" spans="1:19" x14ac:dyDescent="0.25">
      <c r="A4" t="s">
        <v>34</v>
      </c>
      <c r="B4" s="7">
        <v>45299</v>
      </c>
      <c r="C4" t="s">
        <v>30</v>
      </c>
      <c r="D4" t="s">
        <v>26</v>
      </c>
      <c r="E4" t="s">
        <v>17</v>
      </c>
      <c r="F4">
        <v>763</v>
      </c>
      <c r="G4">
        <v>7</v>
      </c>
      <c r="H4" t="s">
        <v>35</v>
      </c>
      <c r="I4" t="s">
        <v>14</v>
      </c>
      <c r="N4" s="83" t="s">
        <v>95</v>
      </c>
      <c r="O4" s="84"/>
      <c r="P4" s="84"/>
      <c r="Q4" s="84"/>
      <c r="R4" s="85"/>
      <c r="S4" s="4"/>
    </row>
    <row r="5" spans="1:19" x14ac:dyDescent="0.25">
      <c r="A5" t="s">
        <v>67</v>
      </c>
      <c r="B5" s="7">
        <v>45319</v>
      </c>
      <c r="C5" t="s">
        <v>25</v>
      </c>
      <c r="D5" t="s">
        <v>11</v>
      </c>
      <c r="E5" t="s">
        <v>17</v>
      </c>
      <c r="F5">
        <v>954</v>
      </c>
      <c r="G5">
        <v>5</v>
      </c>
      <c r="H5" t="s">
        <v>60</v>
      </c>
      <c r="I5" t="s">
        <v>19</v>
      </c>
    </row>
    <row r="6" spans="1:19" x14ac:dyDescent="0.25">
      <c r="A6" t="s">
        <v>88</v>
      </c>
      <c r="B6" s="7">
        <v>45338</v>
      </c>
      <c r="C6" t="s">
        <v>41</v>
      </c>
      <c r="D6" t="s">
        <v>11</v>
      </c>
      <c r="E6" t="s">
        <v>17</v>
      </c>
      <c r="F6">
        <v>1247</v>
      </c>
      <c r="G6">
        <v>8</v>
      </c>
      <c r="H6" t="s">
        <v>54</v>
      </c>
      <c r="I6" t="s">
        <v>14</v>
      </c>
    </row>
    <row r="7" spans="1:19" x14ac:dyDescent="0.25">
      <c r="A7" t="s">
        <v>15</v>
      </c>
      <c r="B7" s="7">
        <v>45293</v>
      </c>
      <c r="C7" t="s">
        <v>16</v>
      </c>
      <c r="D7" t="s">
        <v>11</v>
      </c>
      <c r="E7" t="s">
        <v>17</v>
      </c>
      <c r="F7">
        <v>1382</v>
      </c>
      <c r="G7">
        <v>4</v>
      </c>
      <c r="H7" t="s">
        <v>18</v>
      </c>
      <c r="I7" t="s">
        <v>19</v>
      </c>
    </row>
    <row r="8" spans="1:19" x14ac:dyDescent="0.25">
      <c r="A8" t="s">
        <v>62</v>
      </c>
      <c r="B8" s="7">
        <v>45316</v>
      </c>
      <c r="C8" t="s">
        <v>30</v>
      </c>
      <c r="D8" t="s">
        <v>11</v>
      </c>
      <c r="E8" t="s">
        <v>17</v>
      </c>
      <c r="F8">
        <v>2260</v>
      </c>
      <c r="G8">
        <v>1</v>
      </c>
      <c r="H8" t="s">
        <v>63</v>
      </c>
      <c r="I8" t="s">
        <v>19</v>
      </c>
    </row>
    <row r="9" spans="1:19" x14ac:dyDescent="0.25">
      <c r="A9" t="s">
        <v>91</v>
      </c>
      <c r="B9" s="7">
        <v>45341</v>
      </c>
      <c r="C9" t="s">
        <v>41</v>
      </c>
      <c r="D9" t="s">
        <v>26</v>
      </c>
      <c r="E9" t="s">
        <v>17</v>
      </c>
      <c r="F9">
        <v>2611</v>
      </c>
      <c r="G9">
        <v>9</v>
      </c>
      <c r="H9" t="s">
        <v>39</v>
      </c>
      <c r="I9" t="s">
        <v>42</v>
      </c>
    </row>
    <row r="10" spans="1:19" x14ac:dyDescent="0.25">
      <c r="A10" t="s">
        <v>87</v>
      </c>
      <c r="B10" s="7">
        <v>45337</v>
      </c>
      <c r="C10" t="s">
        <v>41</v>
      </c>
      <c r="D10" t="s">
        <v>26</v>
      </c>
      <c r="E10" t="s">
        <v>17</v>
      </c>
      <c r="F10">
        <v>3372</v>
      </c>
      <c r="G10">
        <v>6</v>
      </c>
      <c r="H10" t="s">
        <v>75</v>
      </c>
      <c r="I10" t="s">
        <v>23</v>
      </c>
    </row>
    <row r="11" spans="1:19" x14ac:dyDescent="0.25">
      <c r="A11" t="s">
        <v>45</v>
      </c>
      <c r="B11" s="7">
        <v>45305</v>
      </c>
      <c r="C11" t="s">
        <v>10</v>
      </c>
      <c r="D11" t="s">
        <v>11</v>
      </c>
      <c r="E11" t="s">
        <v>17</v>
      </c>
      <c r="F11">
        <v>3863</v>
      </c>
      <c r="G11">
        <v>2</v>
      </c>
      <c r="H11" t="s">
        <v>33</v>
      </c>
      <c r="I11" t="s">
        <v>19</v>
      </c>
    </row>
    <row r="12" spans="1:19" x14ac:dyDescent="0.25">
      <c r="A12" t="s">
        <v>48</v>
      </c>
      <c r="B12" s="7">
        <v>45307</v>
      </c>
      <c r="C12" t="s">
        <v>10</v>
      </c>
      <c r="D12" t="s">
        <v>11</v>
      </c>
      <c r="E12" t="s">
        <v>17</v>
      </c>
      <c r="F12">
        <v>4759</v>
      </c>
      <c r="G12">
        <v>1</v>
      </c>
      <c r="H12" t="s">
        <v>49</v>
      </c>
      <c r="I12" t="s">
        <v>42</v>
      </c>
    </row>
    <row r="13" spans="1:19" x14ac:dyDescent="0.25">
      <c r="A13" t="s">
        <v>65</v>
      </c>
      <c r="B13" s="7">
        <v>45318</v>
      </c>
      <c r="C13" t="s">
        <v>16</v>
      </c>
      <c r="D13" t="s">
        <v>11</v>
      </c>
      <c r="E13" t="s">
        <v>17</v>
      </c>
      <c r="F13">
        <v>4837</v>
      </c>
      <c r="G13">
        <v>1</v>
      </c>
      <c r="H13" t="s">
        <v>66</v>
      </c>
      <c r="I13" t="s">
        <v>19</v>
      </c>
    </row>
    <row r="14" spans="1:19" x14ac:dyDescent="0.25">
      <c r="A14" t="s">
        <v>24</v>
      </c>
      <c r="B14" s="7">
        <v>45295</v>
      </c>
      <c r="C14" t="s">
        <v>25</v>
      </c>
      <c r="D14" t="s">
        <v>26</v>
      </c>
      <c r="E14" t="s">
        <v>17</v>
      </c>
      <c r="F14">
        <v>4844</v>
      </c>
      <c r="G14">
        <v>3</v>
      </c>
      <c r="H14" t="s">
        <v>18</v>
      </c>
      <c r="I14" t="s">
        <v>23</v>
      </c>
    </row>
    <row r="15" spans="1:19" x14ac:dyDescent="0.25">
      <c r="A15" t="s">
        <v>43</v>
      </c>
      <c r="B15" s="7">
        <v>45303</v>
      </c>
      <c r="C15" t="s">
        <v>16</v>
      </c>
      <c r="D15" t="s">
        <v>26</v>
      </c>
      <c r="E15" t="s">
        <v>12</v>
      </c>
      <c r="F15">
        <v>1595</v>
      </c>
      <c r="G15">
        <v>8</v>
      </c>
      <c r="H15" t="s">
        <v>39</v>
      </c>
      <c r="I15" t="s">
        <v>23</v>
      </c>
    </row>
    <row r="16" spans="1:19" x14ac:dyDescent="0.25">
      <c r="A16" t="s">
        <v>55</v>
      </c>
      <c r="B16" s="7">
        <v>45311</v>
      </c>
      <c r="C16" t="s">
        <v>10</v>
      </c>
      <c r="D16" t="s">
        <v>11</v>
      </c>
      <c r="E16" t="s">
        <v>12</v>
      </c>
      <c r="F16">
        <v>1736</v>
      </c>
      <c r="G16">
        <v>7</v>
      </c>
      <c r="H16" t="s">
        <v>39</v>
      </c>
      <c r="I16" t="s">
        <v>14</v>
      </c>
    </row>
    <row r="17" spans="1:9" x14ac:dyDescent="0.25">
      <c r="A17" t="s">
        <v>84</v>
      </c>
      <c r="B17" s="7">
        <v>45334</v>
      </c>
      <c r="C17" t="s">
        <v>16</v>
      </c>
      <c r="D17" t="s">
        <v>11</v>
      </c>
      <c r="E17" t="s">
        <v>12</v>
      </c>
      <c r="F17">
        <v>2030</v>
      </c>
      <c r="G17">
        <v>1</v>
      </c>
      <c r="H17" t="s">
        <v>63</v>
      </c>
      <c r="I17" t="s">
        <v>42</v>
      </c>
    </row>
    <row r="18" spans="1:9" x14ac:dyDescent="0.25">
      <c r="A18" t="s">
        <v>36</v>
      </c>
      <c r="B18" s="7">
        <v>45300</v>
      </c>
      <c r="C18" t="s">
        <v>30</v>
      </c>
      <c r="D18" t="s">
        <v>11</v>
      </c>
      <c r="E18" t="s">
        <v>12</v>
      </c>
      <c r="F18">
        <v>2098</v>
      </c>
      <c r="G18">
        <v>4</v>
      </c>
      <c r="H18" t="s">
        <v>37</v>
      </c>
      <c r="I18" t="s">
        <v>19</v>
      </c>
    </row>
    <row r="19" spans="1:9" x14ac:dyDescent="0.25">
      <c r="A19" t="s">
        <v>81</v>
      </c>
      <c r="B19" s="7">
        <v>45331</v>
      </c>
      <c r="C19" t="s">
        <v>25</v>
      </c>
      <c r="D19" t="s">
        <v>11</v>
      </c>
      <c r="E19" t="s">
        <v>12</v>
      </c>
      <c r="F19">
        <v>2427</v>
      </c>
      <c r="G19">
        <v>1</v>
      </c>
      <c r="H19" t="s">
        <v>54</v>
      </c>
      <c r="I19" t="s">
        <v>23</v>
      </c>
    </row>
    <row r="20" spans="1:9" x14ac:dyDescent="0.25">
      <c r="A20" t="s">
        <v>9</v>
      </c>
      <c r="B20" s="7">
        <v>45292</v>
      </c>
      <c r="C20" t="s">
        <v>10</v>
      </c>
      <c r="D20" t="s">
        <v>11</v>
      </c>
      <c r="E20" t="s">
        <v>12</v>
      </c>
      <c r="F20">
        <v>2775</v>
      </c>
      <c r="G20">
        <v>3</v>
      </c>
      <c r="H20" t="s">
        <v>13</v>
      </c>
      <c r="I20" t="s">
        <v>14</v>
      </c>
    </row>
    <row r="21" spans="1:9" x14ac:dyDescent="0.25">
      <c r="A21" t="s">
        <v>44</v>
      </c>
      <c r="B21" s="7">
        <v>45304</v>
      </c>
      <c r="C21" t="s">
        <v>30</v>
      </c>
      <c r="D21" t="s">
        <v>26</v>
      </c>
      <c r="E21" t="s">
        <v>12</v>
      </c>
      <c r="F21">
        <v>3404</v>
      </c>
      <c r="G21">
        <v>7</v>
      </c>
      <c r="H21" t="s">
        <v>22</v>
      </c>
      <c r="I21" t="s">
        <v>42</v>
      </c>
    </row>
    <row r="22" spans="1:9" x14ac:dyDescent="0.25">
      <c r="A22" t="s">
        <v>38</v>
      </c>
      <c r="B22" s="7">
        <v>45301</v>
      </c>
      <c r="C22" t="s">
        <v>25</v>
      </c>
      <c r="D22" t="s">
        <v>11</v>
      </c>
      <c r="E22" t="s">
        <v>12</v>
      </c>
      <c r="F22">
        <v>3545</v>
      </c>
      <c r="G22">
        <v>9</v>
      </c>
      <c r="H22" t="s">
        <v>39</v>
      </c>
      <c r="I22" t="s">
        <v>14</v>
      </c>
    </row>
    <row r="23" spans="1:9" x14ac:dyDescent="0.25">
      <c r="A23" t="s">
        <v>53</v>
      </c>
      <c r="B23" s="7">
        <v>45310</v>
      </c>
      <c r="C23" t="s">
        <v>25</v>
      </c>
      <c r="D23" t="s">
        <v>26</v>
      </c>
      <c r="E23" t="s">
        <v>12</v>
      </c>
      <c r="F23">
        <v>3557</v>
      </c>
      <c r="G23">
        <v>2</v>
      </c>
      <c r="H23" t="s">
        <v>54</v>
      </c>
      <c r="I23" t="s">
        <v>42</v>
      </c>
    </row>
    <row r="24" spans="1:9" x14ac:dyDescent="0.25">
      <c r="A24" t="s">
        <v>52</v>
      </c>
      <c r="B24" s="7">
        <v>45309</v>
      </c>
      <c r="C24" t="s">
        <v>30</v>
      </c>
      <c r="D24" t="s">
        <v>26</v>
      </c>
      <c r="E24" t="s">
        <v>12</v>
      </c>
      <c r="F24">
        <v>3681</v>
      </c>
      <c r="G24">
        <v>9</v>
      </c>
      <c r="H24" t="s">
        <v>13</v>
      </c>
      <c r="I24" t="s">
        <v>14</v>
      </c>
    </row>
    <row r="25" spans="1:9" x14ac:dyDescent="0.25">
      <c r="A25" t="s">
        <v>89</v>
      </c>
      <c r="B25" s="7">
        <v>45339</v>
      </c>
      <c r="C25" t="s">
        <v>16</v>
      </c>
      <c r="D25" t="s">
        <v>11</v>
      </c>
      <c r="E25" t="s">
        <v>12</v>
      </c>
      <c r="F25">
        <v>4382</v>
      </c>
      <c r="G25">
        <v>4</v>
      </c>
      <c r="H25" t="s">
        <v>22</v>
      </c>
      <c r="I25" t="s">
        <v>23</v>
      </c>
    </row>
    <row r="26" spans="1:9" x14ac:dyDescent="0.25">
      <c r="A26" t="s">
        <v>78</v>
      </c>
      <c r="B26" s="7">
        <v>45328</v>
      </c>
      <c r="C26" t="s">
        <v>25</v>
      </c>
      <c r="D26" t="s">
        <v>11</v>
      </c>
      <c r="E26" t="s">
        <v>12</v>
      </c>
      <c r="F26">
        <v>4596</v>
      </c>
      <c r="G26">
        <v>8</v>
      </c>
      <c r="H26" t="s">
        <v>37</v>
      </c>
      <c r="I26" t="s">
        <v>42</v>
      </c>
    </row>
    <row r="27" spans="1:9" x14ac:dyDescent="0.25">
      <c r="A27" t="s">
        <v>74</v>
      </c>
      <c r="B27" s="7">
        <v>45325</v>
      </c>
      <c r="C27" t="s">
        <v>30</v>
      </c>
      <c r="D27" t="s">
        <v>11</v>
      </c>
      <c r="E27" t="s">
        <v>21</v>
      </c>
      <c r="F27">
        <v>302</v>
      </c>
      <c r="G27">
        <v>3</v>
      </c>
      <c r="H27" t="s">
        <v>75</v>
      </c>
      <c r="I27" t="s">
        <v>23</v>
      </c>
    </row>
    <row r="28" spans="1:9" x14ac:dyDescent="0.25">
      <c r="A28" t="s">
        <v>20</v>
      </c>
      <c r="B28" s="7">
        <v>45294</v>
      </c>
      <c r="C28" t="s">
        <v>10</v>
      </c>
      <c r="D28" t="s">
        <v>11</v>
      </c>
      <c r="E28" t="s">
        <v>21</v>
      </c>
      <c r="F28">
        <v>809</v>
      </c>
      <c r="G28">
        <v>4</v>
      </c>
      <c r="H28" t="s">
        <v>22</v>
      </c>
      <c r="I28" t="s">
        <v>23</v>
      </c>
    </row>
    <row r="29" spans="1:9" x14ac:dyDescent="0.25">
      <c r="A29" t="s">
        <v>79</v>
      </c>
      <c r="B29" s="7">
        <v>45329</v>
      </c>
      <c r="C29" t="s">
        <v>16</v>
      </c>
      <c r="D29" t="s">
        <v>26</v>
      </c>
      <c r="E29" t="s">
        <v>21</v>
      </c>
      <c r="F29">
        <v>866</v>
      </c>
      <c r="G29">
        <v>6</v>
      </c>
      <c r="H29" t="s">
        <v>13</v>
      </c>
      <c r="I29" t="s">
        <v>14</v>
      </c>
    </row>
    <row r="30" spans="1:9" x14ac:dyDescent="0.25">
      <c r="A30" t="s">
        <v>50</v>
      </c>
      <c r="B30" s="7">
        <v>45308</v>
      </c>
      <c r="C30" t="s">
        <v>10</v>
      </c>
      <c r="D30" t="s">
        <v>11</v>
      </c>
      <c r="E30" t="s">
        <v>21</v>
      </c>
      <c r="F30">
        <v>1391</v>
      </c>
      <c r="G30">
        <v>9</v>
      </c>
      <c r="H30" t="s">
        <v>51</v>
      </c>
      <c r="I30" t="s">
        <v>19</v>
      </c>
    </row>
    <row r="31" spans="1:9" x14ac:dyDescent="0.25">
      <c r="A31" t="s">
        <v>69</v>
      </c>
      <c r="B31" s="7">
        <v>45321</v>
      </c>
      <c r="C31" t="s">
        <v>10</v>
      </c>
      <c r="D31" t="s">
        <v>11</v>
      </c>
      <c r="E31" t="s">
        <v>21</v>
      </c>
      <c r="F31">
        <v>1807</v>
      </c>
      <c r="G31">
        <v>7</v>
      </c>
      <c r="H31" t="s">
        <v>28</v>
      </c>
      <c r="I31" t="s">
        <v>42</v>
      </c>
    </row>
    <row r="32" spans="1:9" x14ac:dyDescent="0.25">
      <c r="A32" t="s">
        <v>71</v>
      </c>
      <c r="B32" s="7">
        <v>45323</v>
      </c>
      <c r="C32" t="s">
        <v>10</v>
      </c>
      <c r="D32" t="s">
        <v>11</v>
      </c>
      <c r="E32" t="s">
        <v>21</v>
      </c>
      <c r="F32">
        <v>1833</v>
      </c>
      <c r="G32">
        <v>9</v>
      </c>
      <c r="H32" t="s">
        <v>72</v>
      </c>
      <c r="I32" t="s">
        <v>23</v>
      </c>
    </row>
    <row r="33" spans="1:9" x14ac:dyDescent="0.25">
      <c r="A33" t="s">
        <v>46</v>
      </c>
      <c r="B33" s="7">
        <v>45306</v>
      </c>
      <c r="C33" t="s">
        <v>30</v>
      </c>
      <c r="D33" t="s">
        <v>26</v>
      </c>
      <c r="E33" t="s">
        <v>21</v>
      </c>
      <c r="F33">
        <v>1953</v>
      </c>
      <c r="G33">
        <v>8</v>
      </c>
      <c r="H33" t="s">
        <v>47</v>
      </c>
      <c r="I33" t="s">
        <v>42</v>
      </c>
    </row>
    <row r="34" spans="1:9" x14ac:dyDescent="0.25">
      <c r="A34" t="s">
        <v>70</v>
      </c>
      <c r="B34" s="7">
        <v>45322</v>
      </c>
      <c r="C34" t="s">
        <v>25</v>
      </c>
      <c r="D34" t="s">
        <v>26</v>
      </c>
      <c r="E34" t="s">
        <v>21</v>
      </c>
      <c r="F34">
        <v>2877</v>
      </c>
      <c r="G34">
        <v>9</v>
      </c>
      <c r="H34" t="s">
        <v>39</v>
      </c>
      <c r="I34" t="s">
        <v>42</v>
      </c>
    </row>
    <row r="35" spans="1:9" x14ac:dyDescent="0.25">
      <c r="A35" t="s">
        <v>82</v>
      </c>
      <c r="B35" s="7">
        <v>45332</v>
      </c>
      <c r="C35" t="s">
        <v>16</v>
      </c>
      <c r="D35" t="s">
        <v>11</v>
      </c>
      <c r="E35" t="s">
        <v>21</v>
      </c>
      <c r="F35">
        <v>3031</v>
      </c>
      <c r="G35">
        <v>8</v>
      </c>
      <c r="H35" t="s">
        <v>58</v>
      </c>
      <c r="I35" t="s">
        <v>42</v>
      </c>
    </row>
    <row r="36" spans="1:9" x14ac:dyDescent="0.25">
      <c r="A36" t="s">
        <v>57</v>
      </c>
      <c r="B36" s="7">
        <v>45313</v>
      </c>
      <c r="C36" t="s">
        <v>30</v>
      </c>
      <c r="D36" t="s">
        <v>26</v>
      </c>
      <c r="E36" t="s">
        <v>21</v>
      </c>
      <c r="F36">
        <v>3099</v>
      </c>
      <c r="G36">
        <v>7</v>
      </c>
      <c r="H36" t="s">
        <v>58</v>
      </c>
      <c r="I36" t="s">
        <v>14</v>
      </c>
    </row>
    <row r="37" spans="1:9" x14ac:dyDescent="0.25">
      <c r="A37" t="s">
        <v>73</v>
      </c>
      <c r="B37" s="7">
        <v>45324</v>
      </c>
      <c r="C37" t="s">
        <v>16</v>
      </c>
      <c r="D37" t="s">
        <v>11</v>
      </c>
      <c r="E37" t="s">
        <v>21</v>
      </c>
      <c r="F37">
        <v>3610</v>
      </c>
      <c r="G37">
        <v>3</v>
      </c>
      <c r="H37" t="s">
        <v>39</v>
      </c>
      <c r="I37" t="s">
        <v>14</v>
      </c>
    </row>
    <row r="38" spans="1:9" x14ac:dyDescent="0.25">
      <c r="A38" t="s">
        <v>27</v>
      </c>
      <c r="B38" s="7">
        <v>45296</v>
      </c>
      <c r="C38" t="s">
        <v>10</v>
      </c>
      <c r="D38" t="s">
        <v>11</v>
      </c>
      <c r="E38" t="s">
        <v>21</v>
      </c>
      <c r="F38">
        <v>4513</v>
      </c>
      <c r="G38">
        <v>3</v>
      </c>
      <c r="H38" t="s">
        <v>28</v>
      </c>
      <c r="I38" t="s">
        <v>14</v>
      </c>
    </row>
    <row r="39" spans="1:9" x14ac:dyDescent="0.25">
      <c r="A39" t="s">
        <v>29</v>
      </c>
      <c r="B39" s="7">
        <v>45297</v>
      </c>
      <c r="C39" t="s">
        <v>30</v>
      </c>
      <c r="D39" t="s">
        <v>26</v>
      </c>
      <c r="E39" t="s">
        <v>21</v>
      </c>
      <c r="F39">
        <v>2806</v>
      </c>
      <c r="G39">
        <v>3</v>
      </c>
      <c r="H39" t="s">
        <v>13</v>
      </c>
      <c r="I39" t="s">
        <v>19</v>
      </c>
    </row>
    <row r="40" spans="1:9" x14ac:dyDescent="0.25">
      <c r="A40" t="s">
        <v>61</v>
      </c>
      <c r="B40" s="7">
        <v>45315</v>
      </c>
      <c r="C40" t="s">
        <v>10</v>
      </c>
      <c r="D40" t="s">
        <v>26</v>
      </c>
      <c r="E40" t="s">
        <v>32</v>
      </c>
      <c r="F40">
        <v>798</v>
      </c>
      <c r="G40">
        <v>4</v>
      </c>
      <c r="H40" t="s">
        <v>22</v>
      </c>
      <c r="I40" t="s">
        <v>42</v>
      </c>
    </row>
    <row r="41" spans="1:9" x14ac:dyDescent="0.25">
      <c r="A41" t="s">
        <v>59</v>
      </c>
      <c r="B41" s="7">
        <v>45314</v>
      </c>
      <c r="C41" t="s">
        <v>10</v>
      </c>
      <c r="D41" t="s">
        <v>26</v>
      </c>
      <c r="E41" t="s">
        <v>32</v>
      </c>
      <c r="F41">
        <v>3252</v>
      </c>
      <c r="G41">
        <v>9</v>
      </c>
      <c r="H41" t="s">
        <v>60</v>
      </c>
      <c r="I41" t="s">
        <v>19</v>
      </c>
    </row>
    <row r="42" spans="1:9" x14ac:dyDescent="0.25">
      <c r="A42" t="s">
        <v>76</v>
      </c>
      <c r="B42" s="7">
        <v>45326</v>
      </c>
      <c r="C42" t="s">
        <v>30</v>
      </c>
      <c r="D42" t="s">
        <v>26</v>
      </c>
      <c r="E42" t="s">
        <v>32</v>
      </c>
      <c r="F42">
        <v>3355</v>
      </c>
      <c r="G42">
        <v>3</v>
      </c>
      <c r="H42" t="s">
        <v>33</v>
      </c>
      <c r="I42" t="s">
        <v>23</v>
      </c>
    </row>
    <row r="43" spans="1:9" x14ac:dyDescent="0.25">
      <c r="A43" t="s">
        <v>90</v>
      </c>
      <c r="B43" s="7">
        <v>45340</v>
      </c>
      <c r="C43" t="s">
        <v>41</v>
      </c>
      <c r="D43" t="s">
        <v>11</v>
      </c>
      <c r="E43" t="s">
        <v>32</v>
      </c>
      <c r="F43">
        <v>3497</v>
      </c>
      <c r="G43">
        <v>3</v>
      </c>
      <c r="H43" t="s">
        <v>13</v>
      </c>
      <c r="I43" t="s">
        <v>14</v>
      </c>
    </row>
    <row r="44" spans="1:9" x14ac:dyDescent="0.25">
      <c r="A44" t="s">
        <v>68</v>
      </c>
      <c r="B44" s="7">
        <v>45320</v>
      </c>
      <c r="C44" t="s">
        <v>25</v>
      </c>
      <c r="D44" t="s">
        <v>11</v>
      </c>
      <c r="E44" t="s">
        <v>32</v>
      </c>
      <c r="F44">
        <v>3574</v>
      </c>
      <c r="G44">
        <v>5</v>
      </c>
      <c r="H44" t="s">
        <v>49</v>
      </c>
      <c r="I44" t="s">
        <v>42</v>
      </c>
    </row>
    <row r="45" spans="1:9" x14ac:dyDescent="0.25">
      <c r="A45" t="s">
        <v>85</v>
      </c>
      <c r="B45" s="7">
        <v>45335</v>
      </c>
      <c r="C45" t="s">
        <v>16</v>
      </c>
      <c r="D45" t="s">
        <v>26</v>
      </c>
      <c r="E45" t="s">
        <v>32</v>
      </c>
      <c r="F45">
        <v>3682</v>
      </c>
      <c r="G45">
        <v>8</v>
      </c>
      <c r="H45" t="s">
        <v>13</v>
      </c>
      <c r="I45" t="s">
        <v>19</v>
      </c>
    </row>
    <row r="46" spans="1:9" x14ac:dyDescent="0.25">
      <c r="A46" t="s">
        <v>56</v>
      </c>
      <c r="B46" s="7">
        <v>45312</v>
      </c>
      <c r="C46" t="s">
        <v>10</v>
      </c>
      <c r="D46" t="s">
        <v>11</v>
      </c>
      <c r="E46" t="s">
        <v>32</v>
      </c>
      <c r="F46">
        <v>3796</v>
      </c>
      <c r="G46">
        <v>3</v>
      </c>
      <c r="H46" t="s">
        <v>33</v>
      </c>
      <c r="I46" t="s">
        <v>42</v>
      </c>
    </row>
    <row r="47" spans="1:9" x14ac:dyDescent="0.25">
      <c r="A47" t="s">
        <v>64</v>
      </c>
      <c r="B47" s="7">
        <v>45317</v>
      </c>
      <c r="C47" t="s">
        <v>30</v>
      </c>
      <c r="D47" t="s">
        <v>11</v>
      </c>
      <c r="E47" t="s">
        <v>32</v>
      </c>
      <c r="F47">
        <v>4197</v>
      </c>
      <c r="G47">
        <v>2</v>
      </c>
      <c r="H47" t="s">
        <v>63</v>
      </c>
      <c r="I47" t="s">
        <v>42</v>
      </c>
    </row>
    <row r="48" spans="1:9" x14ac:dyDescent="0.25">
      <c r="A48" t="s">
        <v>77</v>
      </c>
      <c r="B48" s="7">
        <v>45327</v>
      </c>
      <c r="C48" t="s">
        <v>30</v>
      </c>
      <c r="D48" t="s">
        <v>11</v>
      </c>
      <c r="E48" t="s">
        <v>32</v>
      </c>
      <c r="F48">
        <v>4318</v>
      </c>
      <c r="G48">
        <v>4</v>
      </c>
      <c r="H48" t="s">
        <v>60</v>
      </c>
      <c r="I48" t="s">
        <v>19</v>
      </c>
    </row>
    <row r="49" spans="1:9" x14ac:dyDescent="0.25">
      <c r="A49" t="s">
        <v>80</v>
      </c>
      <c r="B49" s="7">
        <v>45330</v>
      </c>
      <c r="C49" t="s">
        <v>25</v>
      </c>
      <c r="D49" t="s">
        <v>11</v>
      </c>
      <c r="E49" t="s">
        <v>32</v>
      </c>
      <c r="F49">
        <v>4489</v>
      </c>
      <c r="G49">
        <v>8</v>
      </c>
      <c r="H49" t="s">
        <v>54</v>
      </c>
      <c r="I49" t="s">
        <v>19</v>
      </c>
    </row>
    <row r="50" spans="1:9" x14ac:dyDescent="0.25">
      <c r="A50" t="s">
        <v>31</v>
      </c>
      <c r="B50" s="7">
        <v>45298</v>
      </c>
      <c r="C50" t="s">
        <v>30</v>
      </c>
      <c r="D50" t="s">
        <v>11</v>
      </c>
      <c r="E50" t="s">
        <v>32</v>
      </c>
      <c r="F50">
        <v>4879</v>
      </c>
      <c r="G50">
        <v>4</v>
      </c>
      <c r="H50" t="s">
        <v>33</v>
      </c>
      <c r="I50" t="s">
        <v>23</v>
      </c>
    </row>
    <row r="51" spans="1:9" x14ac:dyDescent="0.25">
      <c r="A51" t="s">
        <v>40</v>
      </c>
      <c r="B51" s="7">
        <v>45302</v>
      </c>
      <c r="C51" t="s">
        <v>41</v>
      </c>
      <c r="D51" t="s">
        <v>26</v>
      </c>
      <c r="E51" t="s">
        <v>17</v>
      </c>
      <c r="F51">
        <v>3843</v>
      </c>
      <c r="G51">
        <v>1</v>
      </c>
      <c r="H51" t="s">
        <v>37</v>
      </c>
      <c r="I51" t="s">
        <v>42</v>
      </c>
    </row>
  </sheetData>
  <mergeCells count="4">
    <mergeCell ref="N1:R1"/>
    <mergeCell ref="N2:Q2"/>
    <mergeCell ref="N3:Q3"/>
    <mergeCell ref="N4:R4"/>
  </mergeCells>
  <pageMargins left="0.7" right="0.7" top="0.75" bottom="0.75" header="0.3" footer="0.3"/>
  <headerFooter>
    <oddFooter>&amp;L_x000D_&amp;1#&amp;"Calibri"&amp;10&amp;K000000 Classification: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2A6E3-AB42-414D-8192-62420DD8F4D6}">
  <dimension ref="A1:V53"/>
  <sheetViews>
    <sheetView workbookViewId="0">
      <selection activeCell="S7" sqref="S7"/>
    </sheetView>
  </sheetViews>
  <sheetFormatPr defaultRowHeight="15" x14ac:dyDescent="0.25"/>
  <cols>
    <col min="1" max="1" width="10.7109375" style="4" customWidth="1"/>
    <col min="2" max="2" width="17.7109375" style="30" customWidth="1"/>
    <col min="3" max="3" width="18" style="4" customWidth="1"/>
    <col min="4" max="4" width="19" style="4" customWidth="1"/>
    <col min="5" max="5" width="10.7109375" style="4" customWidth="1"/>
    <col min="6" max="6" width="20.28515625" style="4" customWidth="1"/>
    <col min="7" max="7" width="14.7109375" style="4" customWidth="1"/>
    <col min="8" max="8" width="17.85546875" style="4" customWidth="1"/>
    <col min="9" max="9" width="14.28515625" style="4" customWidth="1"/>
    <col min="10" max="10" width="14.140625" customWidth="1"/>
    <col min="11" max="11" width="11.85546875" style="4" customWidth="1"/>
    <col min="12" max="13" width="23" style="4" customWidth="1"/>
    <col min="14" max="14" width="12.5703125" style="4" customWidth="1"/>
    <col min="15" max="15" width="23" style="4" customWidth="1"/>
    <col min="16" max="16" width="14.85546875" style="4" customWidth="1"/>
    <col min="17" max="17" width="14.28515625" style="4" customWidth="1"/>
    <col min="18" max="18" width="12.7109375" style="4" customWidth="1"/>
    <col min="19" max="19" width="16" style="4" customWidth="1"/>
    <col min="20" max="20" width="9.140625" style="4"/>
    <col min="21" max="21" width="11.7109375" style="4" customWidth="1"/>
    <col min="22" max="16384" width="9.140625" style="4"/>
  </cols>
  <sheetData>
    <row r="1" spans="1:22" s="2" customFormat="1" x14ac:dyDescent="0.25">
      <c r="A1" s="1" t="s">
        <v>0</v>
      </c>
      <c r="B1" s="6" t="s">
        <v>1</v>
      </c>
      <c r="C1" s="1" t="s">
        <v>2</v>
      </c>
      <c r="D1" s="1" t="s">
        <v>3</v>
      </c>
      <c r="E1" s="1" t="s">
        <v>4</v>
      </c>
      <c r="F1" s="1" t="s">
        <v>5</v>
      </c>
      <c r="G1" s="1" t="s">
        <v>6</v>
      </c>
      <c r="H1" s="1" t="s">
        <v>7</v>
      </c>
      <c r="I1" s="1" t="s">
        <v>8</v>
      </c>
      <c r="J1" s="1" t="s">
        <v>132</v>
      </c>
      <c r="K1" s="4"/>
      <c r="L1" s="89" t="s">
        <v>133</v>
      </c>
      <c r="M1" s="89" t="s">
        <v>134</v>
      </c>
      <c r="N1" s="21"/>
      <c r="O1" s="90" t="s">
        <v>135</v>
      </c>
      <c r="P1" s="91"/>
      <c r="Q1" s="21"/>
      <c r="R1" s="104"/>
      <c r="S1" s="104"/>
      <c r="T1" s="104"/>
      <c r="U1" s="104"/>
      <c r="V1" s="104"/>
    </row>
    <row r="2" spans="1:22" x14ac:dyDescent="0.25">
      <c r="A2" s="22" t="s">
        <v>48</v>
      </c>
      <c r="B2" s="23">
        <v>45307</v>
      </c>
      <c r="C2" s="24" t="s">
        <v>10</v>
      </c>
      <c r="D2" s="24" t="s">
        <v>11</v>
      </c>
      <c r="E2" s="24" t="s">
        <v>17</v>
      </c>
      <c r="F2" s="25">
        <v>4759</v>
      </c>
      <c r="G2" s="24">
        <v>1</v>
      </c>
      <c r="H2" s="24" t="s">
        <v>49</v>
      </c>
      <c r="I2" s="24" t="s">
        <v>42</v>
      </c>
      <c r="J2" s="4">
        <f>(F2&gt;2000)*1</f>
        <v>1</v>
      </c>
      <c r="L2" s="26" t="str">
        <f t="shared" ref="L2:L51" si="0">IF(F2&gt;2000,"High Sales","Low Sales")</f>
        <v>High Sales</v>
      </c>
      <c r="M2" s="3" t="str">
        <f>_xlfn.IFS(F2&gt;2000,"High Sales",F2&gt;=1500,"Medium Sales",F2&lt;1500,"Low Sales")</f>
        <v>High Sales</v>
      </c>
      <c r="O2" s="27" t="s">
        <v>136</v>
      </c>
      <c r="P2" s="28" t="s">
        <v>5</v>
      </c>
      <c r="R2" s="105"/>
      <c r="S2" s="105"/>
      <c r="T2" s="105"/>
      <c r="U2" s="105"/>
      <c r="V2" s="103"/>
    </row>
    <row r="3" spans="1:22" x14ac:dyDescent="0.25">
      <c r="A3" s="29" t="s">
        <v>87</v>
      </c>
      <c r="B3" s="30">
        <v>45337</v>
      </c>
      <c r="C3" s="4" t="s">
        <v>41</v>
      </c>
      <c r="D3" s="4" t="s">
        <v>26</v>
      </c>
      <c r="E3" s="4" t="s">
        <v>17</v>
      </c>
      <c r="F3" s="31">
        <v>3372</v>
      </c>
      <c r="G3" s="4">
        <v>6</v>
      </c>
      <c r="H3" s="4" t="s">
        <v>75</v>
      </c>
      <c r="I3" s="4" t="s">
        <v>23</v>
      </c>
      <c r="J3" s="4">
        <f t="shared" ref="J3:J51" si="1">(F3&gt;2000)*1</f>
        <v>1</v>
      </c>
      <c r="L3" s="32" t="str">
        <f t="shared" si="0"/>
        <v>High Sales</v>
      </c>
      <c r="M3" s="5" t="str">
        <f t="shared" ref="M3:M51" si="2">_xlfn.IFS(F3&gt;2000,"High Sales",F3&gt;=1500,"Medium Sales",F3&lt;1500,"Low Sales")</f>
        <v>High Sales</v>
      </c>
      <c r="O3" s="33" t="s">
        <v>19</v>
      </c>
      <c r="P3" s="5">
        <f>SUMIF(I:I,O3,F:F)</f>
        <v>35629</v>
      </c>
      <c r="R3" s="105"/>
      <c r="S3" s="105"/>
      <c r="T3" s="105"/>
      <c r="U3" s="105"/>
      <c r="V3" s="103"/>
    </row>
    <row r="4" spans="1:22" x14ac:dyDescent="0.25">
      <c r="A4" s="29" t="s">
        <v>45</v>
      </c>
      <c r="B4" s="30">
        <v>45305</v>
      </c>
      <c r="C4" s="4" t="s">
        <v>10</v>
      </c>
      <c r="D4" s="4" t="s">
        <v>11</v>
      </c>
      <c r="E4" s="4" t="s">
        <v>17</v>
      </c>
      <c r="F4" s="31">
        <v>3863</v>
      </c>
      <c r="G4" s="4">
        <v>2</v>
      </c>
      <c r="H4" s="4" t="s">
        <v>33</v>
      </c>
      <c r="I4" s="4" t="s">
        <v>19</v>
      </c>
      <c r="J4" s="4">
        <f t="shared" si="1"/>
        <v>1</v>
      </c>
      <c r="L4" s="32" t="str">
        <f t="shared" si="0"/>
        <v>High Sales</v>
      </c>
      <c r="M4" s="5" t="str">
        <f t="shared" si="2"/>
        <v>High Sales</v>
      </c>
      <c r="O4" s="33" t="s">
        <v>23</v>
      </c>
      <c r="P4" s="5">
        <f>SUMIF(I:I,O4,F:F)</f>
        <v>27798</v>
      </c>
      <c r="R4" s="105"/>
      <c r="S4" s="105"/>
      <c r="T4" s="105"/>
      <c r="U4" s="105"/>
      <c r="V4" s="105"/>
    </row>
    <row r="5" spans="1:22" x14ac:dyDescent="0.25">
      <c r="A5" s="29" t="s">
        <v>86</v>
      </c>
      <c r="B5" s="30">
        <v>45336</v>
      </c>
      <c r="C5" s="4" t="s">
        <v>30</v>
      </c>
      <c r="D5" s="4" t="s">
        <v>26</v>
      </c>
      <c r="E5" s="4" t="s">
        <v>17</v>
      </c>
      <c r="F5" s="31">
        <v>708</v>
      </c>
      <c r="G5" s="4">
        <v>4</v>
      </c>
      <c r="H5" s="4" t="s">
        <v>35</v>
      </c>
      <c r="I5" s="4" t="s">
        <v>42</v>
      </c>
      <c r="J5" s="4">
        <f t="shared" si="1"/>
        <v>0</v>
      </c>
      <c r="L5" s="32" t="str">
        <f t="shared" si="0"/>
        <v>Low Sales</v>
      </c>
      <c r="M5" s="5" t="str">
        <f t="shared" si="2"/>
        <v>Low Sales</v>
      </c>
      <c r="O5" s="33" t="s">
        <v>42</v>
      </c>
      <c r="P5" s="5">
        <f>SUMIF(I:I,O5,F:F)</f>
        <v>47541</v>
      </c>
    </row>
    <row r="6" spans="1:22" x14ac:dyDescent="0.25">
      <c r="A6" s="29" t="s">
        <v>83</v>
      </c>
      <c r="B6" s="30">
        <v>45333</v>
      </c>
      <c r="C6" s="4" t="s">
        <v>16</v>
      </c>
      <c r="D6" s="4" t="s">
        <v>11</v>
      </c>
      <c r="E6" s="4" t="s">
        <v>17</v>
      </c>
      <c r="F6" s="31">
        <v>297</v>
      </c>
      <c r="G6" s="4">
        <v>4</v>
      </c>
      <c r="H6" s="4" t="s">
        <v>22</v>
      </c>
      <c r="I6" s="4" t="s">
        <v>19</v>
      </c>
      <c r="J6" s="4">
        <f t="shared" si="1"/>
        <v>0</v>
      </c>
      <c r="L6" s="32" t="str">
        <f t="shared" si="0"/>
        <v>Low Sales</v>
      </c>
      <c r="M6" s="5" t="str">
        <f t="shared" si="2"/>
        <v>Low Sales</v>
      </c>
      <c r="O6" s="33" t="s">
        <v>14</v>
      </c>
      <c r="P6" s="5">
        <f>SUMIF(I:I,O6,F:F)</f>
        <v>29332</v>
      </c>
    </row>
    <row r="7" spans="1:22" x14ac:dyDescent="0.25">
      <c r="A7" s="29" t="s">
        <v>34</v>
      </c>
      <c r="B7" s="30">
        <v>45299</v>
      </c>
      <c r="C7" s="4" t="s">
        <v>30</v>
      </c>
      <c r="D7" s="4" t="s">
        <v>26</v>
      </c>
      <c r="E7" s="4" t="s">
        <v>17</v>
      </c>
      <c r="F7" s="31">
        <v>763</v>
      </c>
      <c r="G7" s="4">
        <v>7</v>
      </c>
      <c r="H7" s="4" t="s">
        <v>35</v>
      </c>
      <c r="I7" s="4" t="s">
        <v>14</v>
      </c>
      <c r="J7" s="4">
        <f t="shared" si="1"/>
        <v>0</v>
      </c>
      <c r="L7" s="32" t="str">
        <f t="shared" si="0"/>
        <v>Low Sales</v>
      </c>
      <c r="M7" s="5" t="str">
        <f t="shared" si="2"/>
        <v>Low Sales</v>
      </c>
      <c r="O7" s="34" t="s">
        <v>137</v>
      </c>
      <c r="P7" s="35">
        <f>SUM(P3:P6)</f>
        <v>140300</v>
      </c>
    </row>
    <row r="8" spans="1:22" x14ac:dyDescent="0.25">
      <c r="A8" s="29" t="s">
        <v>67</v>
      </c>
      <c r="B8" s="30">
        <v>45319</v>
      </c>
      <c r="C8" s="4" t="s">
        <v>25</v>
      </c>
      <c r="D8" s="4" t="s">
        <v>11</v>
      </c>
      <c r="E8" s="4" t="s">
        <v>17</v>
      </c>
      <c r="F8" s="31">
        <v>954</v>
      </c>
      <c r="G8" s="4">
        <v>5</v>
      </c>
      <c r="H8" s="4" t="s">
        <v>60</v>
      </c>
      <c r="I8" s="4" t="s">
        <v>19</v>
      </c>
      <c r="J8" s="4">
        <f t="shared" si="1"/>
        <v>0</v>
      </c>
      <c r="L8" s="32" t="str">
        <f t="shared" si="0"/>
        <v>Low Sales</v>
      </c>
      <c r="M8" s="5" t="str">
        <f t="shared" si="2"/>
        <v>Low Sales</v>
      </c>
    </row>
    <row r="9" spans="1:22" x14ac:dyDescent="0.25">
      <c r="A9" s="29" t="s">
        <v>62</v>
      </c>
      <c r="B9" s="30">
        <v>45316</v>
      </c>
      <c r="C9" s="4" t="s">
        <v>30</v>
      </c>
      <c r="D9" s="4" t="s">
        <v>11</v>
      </c>
      <c r="E9" s="4" t="s">
        <v>17</v>
      </c>
      <c r="F9" s="31">
        <v>2260</v>
      </c>
      <c r="G9" s="4">
        <v>1</v>
      </c>
      <c r="H9" s="4" t="s">
        <v>63</v>
      </c>
      <c r="I9" s="4" t="s">
        <v>19</v>
      </c>
      <c r="J9" s="4">
        <f t="shared" si="1"/>
        <v>1</v>
      </c>
      <c r="L9" s="32" t="str">
        <f t="shared" si="0"/>
        <v>High Sales</v>
      </c>
      <c r="M9" s="5" t="str">
        <f t="shared" si="2"/>
        <v>High Sales</v>
      </c>
      <c r="O9" s="87" t="s">
        <v>138</v>
      </c>
      <c r="P9" s="87"/>
      <c r="Q9" s="87"/>
    </row>
    <row r="10" spans="1:22" x14ac:dyDescent="0.25">
      <c r="A10" s="29" t="s">
        <v>91</v>
      </c>
      <c r="B10" s="30">
        <v>45341</v>
      </c>
      <c r="C10" s="4" t="s">
        <v>41</v>
      </c>
      <c r="D10" s="4" t="s">
        <v>26</v>
      </c>
      <c r="E10" s="4" t="s">
        <v>17</v>
      </c>
      <c r="F10" s="31">
        <v>2611</v>
      </c>
      <c r="G10" s="4">
        <v>9</v>
      </c>
      <c r="H10" s="4" t="s">
        <v>39</v>
      </c>
      <c r="I10" s="4" t="s">
        <v>42</v>
      </c>
      <c r="J10" s="4">
        <f t="shared" si="1"/>
        <v>1</v>
      </c>
      <c r="L10" s="32" t="str">
        <f t="shared" si="0"/>
        <v>High Sales</v>
      </c>
      <c r="M10" s="5" t="str">
        <f t="shared" si="2"/>
        <v>High Sales</v>
      </c>
    </row>
    <row r="11" spans="1:22" x14ac:dyDescent="0.25">
      <c r="A11" s="29" t="s">
        <v>15</v>
      </c>
      <c r="B11" s="30">
        <v>45293</v>
      </c>
      <c r="C11" s="4" t="s">
        <v>16</v>
      </c>
      <c r="D11" s="4" t="s">
        <v>11</v>
      </c>
      <c r="E11" s="4" t="s">
        <v>17</v>
      </c>
      <c r="F11" s="31">
        <v>1382</v>
      </c>
      <c r="G11" s="4">
        <v>4</v>
      </c>
      <c r="H11" s="4" t="s">
        <v>18</v>
      </c>
      <c r="I11" s="4" t="s">
        <v>19</v>
      </c>
      <c r="J11" s="4">
        <f t="shared" si="1"/>
        <v>0</v>
      </c>
      <c r="L11" s="32" t="str">
        <f t="shared" si="0"/>
        <v>Low Sales</v>
      </c>
      <c r="M11" s="5" t="str">
        <f t="shared" si="2"/>
        <v>Low Sales</v>
      </c>
    </row>
    <row r="12" spans="1:22" x14ac:dyDescent="0.25">
      <c r="A12" s="29" t="s">
        <v>88</v>
      </c>
      <c r="B12" s="30">
        <v>45338</v>
      </c>
      <c r="C12" s="4" t="s">
        <v>41</v>
      </c>
      <c r="D12" s="4" t="s">
        <v>11</v>
      </c>
      <c r="E12" s="4" t="s">
        <v>17</v>
      </c>
      <c r="F12" s="31">
        <v>1247</v>
      </c>
      <c r="G12" s="4">
        <v>8</v>
      </c>
      <c r="H12" s="4" t="s">
        <v>54</v>
      </c>
      <c r="I12" s="4" t="s">
        <v>14</v>
      </c>
      <c r="J12" s="4">
        <f t="shared" si="1"/>
        <v>0</v>
      </c>
      <c r="L12" s="32" t="str">
        <f t="shared" si="0"/>
        <v>Low Sales</v>
      </c>
      <c r="M12" s="5" t="str">
        <f t="shared" si="2"/>
        <v>Low Sales</v>
      </c>
      <c r="O12" s="90" t="s">
        <v>139</v>
      </c>
      <c r="P12" s="92"/>
      <c r="Q12" s="92"/>
      <c r="R12" s="92"/>
      <c r="S12" s="92"/>
      <c r="T12" s="91"/>
    </row>
    <row r="13" spans="1:22" x14ac:dyDescent="0.25">
      <c r="A13" s="29" t="s">
        <v>65</v>
      </c>
      <c r="B13" s="30">
        <v>45318</v>
      </c>
      <c r="C13" s="4" t="s">
        <v>16</v>
      </c>
      <c r="D13" s="4" t="s">
        <v>11</v>
      </c>
      <c r="E13" s="4" t="s">
        <v>17</v>
      </c>
      <c r="F13" s="31">
        <v>4837</v>
      </c>
      <c r="G13" s="4">
        <v>1</v>
      </c>
      <c r="H13" s="4" t="s">
        <v>66</v>
      </c>
      <c r="I13" s="4" t="s">
        <v>19</v>
      </c>
      <c r="J13" s="4">
        <f t="shared" si="1"/>
        <v>1</v>
      </c>
      <c r="L13" s="32" t="str">
        <f t="shared" si="0"/>
        <v>High Sales</v>
      </c>
      <c r="M13" s="5" t="str">
        <f t="shared" si="2"/>
        <v>High Sales</v>
      </c>
      <c r="O13" s="27" t="s">
        <v>136</v>
      </c>
      <c r="P13" s="36" t="s">
        <v>25</v>
      </c>
      <c r="Q13" s="36" t="s">
        <v>16</v>
      </c>
      <c r="R13" s="36" t="s">
        <v>41</v>
      </c>
      <c r="S13" s="36" t="s">
        <v>30</v>
      </c>
      <c r="T13" s="37" t="s">
        <v>10</v>
      </c>
    </row>
    <row r="14" spans="1:22" x14ac:dyDescent="0.25">
      <c r="A14" s="29" t="s">
        <v>24</v>
      </c>
      <c r="B14" s="30">
        <v>45295</v>
      </c>
      <c r="C14" s="4" t="s">
        <v>25</v>
      </c>
      <c r="D14" s="4" t="s">
        <v>26</v>
      </c>
      <c r="E14" s="4" t="s">
        <v>17</v>
      </c>
      <c r="F14" s="31">
        <v>4844</v>
      </c>
      <c r="G14" s="4">
        <v>3</v>
      </c>
      <c r="H14" s="4" t="s">
        <v>18</v>
      </c>
      <c r="I14" s="4" t="s">
        <v>23</v>
      </c>
      <c r="J14" s="4">
        <f t="shared" si="1"/>
        <v>1</v>
      </c>
      <c r="L14" s="32" t="str">
        <f t="shared" si="0"/>
        <v>High Sales</v>
      </c>
      <c r="M14" s="5" t="str">
        <f t="shared" si="2"/>
        <v>High Sales</v>
      </c>
      <c r="O14" s="33" t="s">
        <v>19</v>
      </c>
      <c r="P14" s="4">
        <f t="shared" ref="P14:T17" si="3">COUNTIFS($I:$I,$O14,$C:$C,P$13)</f>
        <v>2</v>
      </c>
      <c r="Q14" s="4">
        <f t="shared" si="3"/>
        <v>4</v>
      </c>
      <c r="R14" s="4">
        <f t="shared" si="3"/>
        <v>0</v>
      </c>
      <c r="S14" s="4">
        <f t="shared" si="3"/>
        <v>4</v>
      </c>
      <c r="T14" s="5">
        <f t="shared" si="3"/>
        <v>3</v>
      </c>
    </row>
    <row r="15" spans="1:22" x14ac:dyDescent="0.25">
      <c r="A15" s="29" t="s">
        <v>43</v>
      </c>
      <c r="B15" s="30">
        <v>45303</v>
      </c>
      <c r="C15" s="4" t="s">
        <v>16</v>
      </c>
      <c r="D15" s="4" t="s">
        <v>26</v>
      </c>
      <c r="E15" s="4" t="s">
        <v>12</v>
      </c>
      <c r="F15" s="31">
        <v>1595</v>
      </c>
      <c r="G15" s="4">
        <v>8</v>
      </c>
      <c r="H15" s="4" t="s">
        <v>39</v>
      </c>
      <c r="I15" s="4" t="s">
        <v>23</v>
      </c>
      <c r="J15" s="4">
        <f t="shared" si="1"/>
        <v>0</v>
      </c>
      <c r="L15" s="32" t="str">
        <f t="shared" si="0"/>
        <v>Low Sales</v>
      </c>
      <c r="M15" s="5" t="str">
        <f t="shared" si="2"/>
        <v>Medium Sales</v>
      </c>
      <c r="O15" s="33" t="s">
        <v>23</v>
      </c>
      <c r="P15" s="4">
        <f t="shared" si="3"/>
        <v>2</v>
      </c>
      <c r="Q15" s="4">
        <f t="shared" si="3"/>
        <v>2</v>
      </c>
      <c r="R15" s="4">
        <f t="shared" si="3"/>
        <v>1</v>
      </c>
      <c r="S15" s="4">
        <f t="shared" si="3"/>
        <v>3</v>
      </c>
      <c r="T15" s="5">
        <f t="shared" si="3"/>
        <v>2</v>
      </c>
    </row>
    <row r="16" spans="1:22" x14ac:dyDescent="0.25">
      <c r="A16" s="29" t="s">
        <v>9</v>
      </c>
      <c r="B16" s="30">
        <v>45292</v>
      </c>
      <c r="C16" s="4" t="s">
        <v>10</v>
      </c>
      <c r="D16" s="4" t="s">
        <v>11</v>
      </c>
      <c r="E16" s="4" t="s">
        <v>12</v>
      </c>
      <c r="F16" s="31">
        <v>2775</v>
      </c>
      <c r="G16" s="4">
        <v>3</v>
      </c>
      <c r="H16" s="4" t="s">
        <v>13</v>
      </c>
      <c r="I16" s="4" t="s">
        <v>14</v>
      </c>
      <c r="J16" s="4">
        <f t="shared" si="1"/>
        <v>1</v>
      </c>
      <c r="L16" s="32" t="str">
        <f t="shared" si="0"/>
        <v>High Sales</v>
      </c>
      <c r="M16" s="5" t="str">
        <f t="shared" si="2"/>
        <v>High Sales</v>
      </c>
      <c r="O16" s="33" t="s">
        <v>42</v>
      </c>
      <c r="P16" s="4">
        <f t="shared" si="3"/>
        <v>4</v>
      </c>
      <c r="Q16" s="4">
        <f t="shared" si="3"/>
        <v>2</v>
      </c>
      <c r="R16" s="4">
        <f t="shared" si="3"/>
        <v>2</v>
      </c>
      <c r="S16" s="4">
        <f t="shared" si="3"/>
        <v>4</v>
      </c>
      <c r="T16" s="5">
        <f t="shared" si="3"/>
        <v>4</v>
      </c>
    </row>
    <row r="17" spans="1:20" x14ac:dyDescent="0.25">
      <c r="A17" s="29" t="s">
        <v>89</v>
      </c>
      <c r="B17" s="30">
        <v>45339</v>
      </c>
      <c r="C17" s="4" t="s">
        <v>16</v>
      </c>
      <c r="D17" s="4" t="s">
        <v>11</v>
      </c>
      <c r="E17" s="4" t="s">
        <v>12</v>
      </c>
      <c r="F17" s="31">
        <v>4382</v>
      </c>
      <c r="G17" s="4">
        <v>4</v>
      </c>
      <c r="H17" s="4" t="s">
        <v>22</v>
      </c>
      <c r="I17" s="4" t="s">
        <v>23</v>
      </c>
      <c r="J17" s="4">
        <f t="shared" si="1"/>
        <v>1</v>
      </c>
      <c r="L17" s="32" t="str">
        <f t="shared" si="0"/>
        <v>High Sales</v>
      </c>
      <c r="M17" s="5" t="str">
        <f t="shared" si="2"/>
        <v>High Sales</v>
      </c>
      <c r="O17" s="33" t="s">
        <v>14</v>
      </c>
      <c r="P17" s="4">
        <f t="shared" si="3"/>
        <v>1</v>
      </c>
      <c r="Q17" s="4">
        <f t="shared" si="3"/>
        <v>2</v>
      </c>
      <c r="R17" s="4">
        <f t="shared" si="3"/>
        <v>2</v>
      </c>
      <c r="S17" s="4">
        <f t="shared" si="3"/>
        <v>3</v>
      </c>
      <c r="T17" s="5">
        <f t="shared" si="3"/>
        <v>3</v>
      </c>
    </row>
    <row r="18" spans="1:20" x14ac:dyDescent="0.25">
      <c r="A18" s="29" t="s">
        <v>55</v>
      </c>
      <c r="B18" s="30">
        <v>45311</v>
      </c>
      <c r="C18" s="4" t="s">
        <v>10</v>
      </c>
      <c r="D18" s="4" t="s">
        <v>11</v>
      </c>
      <c r="E18" s="4" t="s">
        <v>12</v>
      </c>
      <c r="F18" s="31">
        <v>1736</v>
      </c>
      <c r="G18" s="4">
        <v>7</v>
      </c>
      <c r="H18" s="4" t="s">
        <v>39</v>
      </c>
      <c r="I18" s="4" t="s">
        <v>14</v>
      </c>
      <c r="J18" s="4">
        <f t="shared" si="1"/>
        <v>0</v>
      </c>
      <c r="L18" s="32" t="str">
        <f t="shared" si="0"/>
        <v>Low Sales</v>
      </c>
      <c r="M18" s="5" t="str">
        <f t="shared" si="2"/>
        <v>Medium Sales</v>
      </c>
      <c r="O18" s="34" t="s">
        <v>137</v>
      </c>
      <c r="P18" s="38">
        <f>SUM(P14:P17)</f>
        <v>9</v>
      </c>
      <c r="Q18" s="38">
        <f>SUM(Q14:Q17)</f>
        <v>10</v>
      </c>
      <c r="R18" s="38">
        <f>SUM(R14:R17)</f>
        <v>5</v>
      </c>
      <c r="S18" s="38">
        <f>SUM(S14:S17)</f>
        <v>14</v>
      </c>
      <c r="T18" s="35">
        <f>SUM(T14:T17)</f>
        <v>12</v>
      </c>
    </row>
    <row r="19" spans="1:20" x14ac:dyDescent="0.25">
      <c r="A19" s="29" t="s">
        <v>84</v>
      </c>
      <c r="B19" s="30">
        <v>45334</v>
      </c>
      <c r="C19" s="4" t="s">
        <v>16</v>
      </c>
      <c r="D19" s="4" t="s">
        <v>11</v>
      </c>
      <c r="E19" s="4" t="s">
        <v>12</v>
      </c>
      <c r="F19" s="31">
        <v>2030</v>
      </c>
      <c r="G19" s="4">
        <v>1</v>
      </c>
      <c r="H19" s="4" t="s">
        <v>63</v>
      </c>
      <c r="I19" s="4" t="s">
        <v>42</v>
      </c>
      <c r="J19" s="4">
        <f t="shared" si="1"/>
        <v>1</v>
      </c>
      <c r="L19" s="32" t="str">
        <f t="shared" si="0"/>
        <v>High Sales</v>
      </c>
      <c r="M19" s="5" t="str">
        <f t="shared" si="2"/>
        <v>High Sales</v>
      </c>
    </row>
    <row r="20" spans="1:20" x14ac:dyDescent="0.25">
      <c r="A20" s="29" t="s">
        <v>38</v>
      </c>
      <c r="B20" s="30">
        <v>45301</v>
      </c>
      <c r="C20" s="4" t="s">
        <v>25</v>
      </c>
      <c r="D20" s="4" t="s">
        <v>11</v>
      </c>
      <c r="E20" s="4" t="s">
        <v>12</v>
      </c>
      <c r="F20" s="31">
        <v>3545</v>
      </c>
      <c r="G20" s="4">
        <v>9</v>
      </c>
      <c r="H20" s="4" t="s">
        <v>39</v>
      </c>
      <c r="I20" s="4" t="s">
        <v>14</v>
      </c>
      <c r="J20" s="4">
        <f t="shared" si="1"/>
        <v>1</v>
      </c>
      <c r="L20" s="32" t="str">
        <f t="shared" si="0"/>
        <v>High Sales</v>
      </c>
      <c r="M20" s="5" t="str">
        <f t="shared" si="2"/>
        <v>High Sales</v>
      </c>
      <c r="O20" s="86" t="s">
        <v>140</v>
      </c>
      <c r="P20" s="86"/>
      <c r="Q20" s="86"/>
    </row>
    <row r="21" spans="1:20" x14ac:dyDescent="0.25">
      <c r="A21" s="29" t="s">
        <v>36</v>
      </c>
      <c r="B21" s="30">
        <v>45300</v>
      </c>
      <c r="C21" s="4" t="s">
        <v>30</v>
      </c>
      <c r="D21" s="4" t="s">
        <v>11</v>
      </c>
      <c r="E21" s="4" t="s">
        <v>12</v>
      </c>
      <c r="F21" s="31">
        <v>2098</v>
      </c>
      <c r="G21" s="4">
        <v>4</v>
      </c>
      <c r="H21" s="4" t="s">
        <v>37</v>
      </c>
      <c r="I21" s="4" t="s">
        <v>19</v>
      </c>
      <c r="J21" s="4">
        <f t="shared" si="1"/>
        <v>1</v>
      </c>
      <c r="L21" s="32" t="str">
        <f t="shared" si="0"/>
        <v>High Sales</v>
      </c>
      <c r="M21" s="5" t="str">
        <f t="shared" si="2"/>
        <v>High Sales</v>
      </c>
    </row>
    <row r="22" spans="1:20" x14ac:dyDescent="0.25">
      <c r="A22" s="29" t="s">
        <v>44</v>
      </c>
      <c r="B22" s="30">
        <v>45304</v>
      </c>
      <c r="C22" s="4" t="s">
        <v>30</v>
      </c>
      <c r="D22" s="4" t="s">
        <v>26</v>
      </c>
      <c r="E22" s="4" t="s">
        <v>12</v>
      </c>
      <c r="F22" s="31">
        <v>3404</v>
      </c>
      <c r="G22" s="4">
        <v>7</v>
      </c>
      <c r="H22" s="4" t="s">
        <v>22</v>
      </c>
      <c r="I22" s="4" t="s">
        <v>42</v>
      </c>
      <c r="J22" s="4">
        <f t="shared" si="1"/>
        <v>1</v>
      </c>
      <c r="L22" s="32" t="str">
        <f t="shared" si="0"/>
        <v>High Sales</v>
      </c>
      <c r="M22" s="5" t="str">
        <f t="shared" si="2"/>
        <v>High Sales</v>
      </c>
    </row>
    <row r="23" spans="1:20" x14ac:dyDescent="0.25">
      <c r="A23" s="29" t="s">
        <v>81</v>
      </c>
      <c r="B23" s="30">
        <v>45331</v>
      </c>
      <c r="C23" s="4" t="s">
        <v>25</v>
      </c>
      <c r="D23" s="4" t="s">
        <v>11</v>
      </c>
      <c r="E23" s="4" t="s">
        <v>12</v>
      </c>
      <c r="F23" s="31">
        <v>2427</v>
      </c>
      <c r="G23" s="4">
        <v>1</v>
      </c>
      <c r="H23" s="4" t="s">
        <v>54</v>
      </c>
      <c r="I23" s="4" t="s">
        <v>23</v>
      </c>
      <c r="J23" s="4">
        <f t="shared" si="1"/>
        <v>1</v>
      </c>
      <c r="L23" s="32" t="str">
        <f t="shared" si="0"/>
        <v>High Sales</v>
      </c>
      <c r="M23" s="5" t="str">
        <f t="shared" si="2"/>
        <v>High Sales</v>
      </c>
    </row>
    <row r="24" spans="1:20" x14ac:dyDescent="0.25">
      <c r="A24" s="29" t="s">
        <v>78</v>
      </c>
      <c r="B24" s="30">
        <v>45328</v>
      </c>
      <c r="C24" s="4" t="s">
        <v>25</v>
      </c>
      <c r="D24" s="4" t="s">
        <v>11</v>
      </c>
      <c r="E24" s="4" t="s">
        <v>12</v>
      </c>
      <c r="F24" s="31">
        <v>4596</v>
      </c>
      <c r="G24" s="4">
        <v>8</v>
      </c>
      <c r="H24" s="4" t="s">
        <v>37</v>
      </c>
      <c r="I24" s="4" t="s">
        <v>42</v>
      </c>
      <c r="J24" s="4">
        <f t="shared" si="1"/>
        <v>1</v>
      </c>
      <c r="L24" s="32" t="str">
        <f t="shared" si="0"/>
        <v>High Sales</v>
      </c>
      <c r="M24" s="5" t="str">
        <f t="shared" si="2"/>
        <v>High Sales</v>
      </c>
    </row>
    <row r="25" spans="1:20" x14ac:dyDescent="0.25">
      <c r="A25" s="29" t="s">
        <v>52</v>
      </c>
      <c r="B25" s="30">
        <v>45309</v>
      </c>
      <c r="C25" s="4" t="s">
        <v>30</v>
      </c>
      <c r="D25" s="4" t="s">
        <v>26</v>
      </c>
      <c r="E25" s="4" t="s">
        <v>12</v>
      </c>
      <c r="F25" s="31">
        <v>3681</v>
      </c>
      <c r="G25" s="4">
        <v>9</v>
      </c>
      <c r="H25" s="4" t="s">
        <v>13</v>
      </c>
      <c r="I25" s="4" t="s">
        <v>14</v>
      </c>
      <c r="J25" s="4">
        <f t="shared" si="1"/>
        <v>1</v>
      </c>
      <c r="L25" s="32" t="str">
        <f t="shared" si="0"/>
        <v>High Sales</v>
      </c>
      <c r="M25" s="5" t="str">
        <f t="shared" si="2"/>
        <v>High Sales</v>
      </c>
    </row>
    <row r="26" spans="1:20" x14ac:dyDescent="0.25">
      <c r="A26" s="29" t="s">
        <v>53</v>
      </c>
      <c r="B26" s="30">
        <v>45310</v>
      </c>
      <c r="C26" s="4" t="s">
        <v>25</v>
      </c>
      <c r="D26" s="4" t="s">
        <v>26</v>
      </c>
      <c r="E26" s="4" t="s">
        <v>12</v>
      </c>
      <c r="F26" s="31">
        <v>3557</v>
      </c>
      <c r="G26" s="4">
        <v>2</v>
      </c>
      <c r="H26" s="4" t="s">
        <v>54</v>
      </c>
      <c r="I26" s="4" t="s">
        <v>42</v>
      </c>
      <c r="J26" s="4">
        <f t="shared" si="1"/>
        <v>1</v>
      </c>
      <c r="L26" s="32" t="str">
        <f t="shared" si="0"/>
        <v>High Sales</v>
      </c>
      <c r="M26" s="5" t="str">
        <f t="shared" si="2"/>
        <v>High Sales</v>
      </c>
    </row>
    <row r="27" spans="1:20" x14ac:dyDescent="0.25">
      <c r="A27" s="29" t="s">
        <v>74</v>
      </c>
      <c r="B27" s="30">
        <v>45325</v>
      </c>
      <c r="C27" s="4" t="s">
        <v>30</v>
      </c>
      <c r="D27" s="4" t="s">
        <v>11</v>
      </c>
      <c r="E27" s="4" t="s">
        <v>21</v>
      </c>
      <c r="F27" s="31">
        <v>302</v>
      </c>
      <c r="G27" s="4">
        <v>3</v>
      </c>
      <c r="H27" s="4" t="s">
        <v>75</v>
      </c>
      <c r="I27" s="4" t="s">
        <v>23</v>
      </c>
      <c r="J27" s="4">
        <f t="shared" si="1"/>
        <v>0</v>
      </c>
      <c r="L27" s="32" t="str">
        <f t="shared" si="0"/>
        <v>Low Sales</v>
      </c>
      <c r="M27" s="5" t="str">
        <f t="shared" si="2"/>
        <v>Low Sales</v>
      </c>
    </row>
    <row r="28" spans="1:20" x14ac:dyDescent="0.25">
      <c r="A28" s="29" t="s">
        <v>46</v>
      </c>
      <c r="B28" s="30">
        <v>45306</v>
      </c>
      <c r="C28" s="4" t="s">
        <v>30</v>
      </c>
      <c r="D28" s="4" t="s">
        <v>26</v>
      </c>
      <c r="E28" s="4" t="s">
        <v>21</v>
      </c>
      <c r="F28" s="31">
        <v>1953</v>
      </c>
      <c r="G28" s="4">
        <v>8</v>
      </c>
      <c r="H28" s="4" t="s">
        <v>47</v>
      </c>
      <c r="I28" s="4" t="s">
        <v>42</v>
      </c>
      <c r="J28" s="4">
        <f t="shared" si="1"/>
        <v>0</v>
      </c>
      <c r="L28" s="32" t="str">
        <f t="shared" si="0"/>
        <v>Low Sales</v>
      </c>
      <c r="M28" s="5" t="str">
        <f t="shared" si="2"/>
        <v>Medium Sales</v>
      </c>
    </row>
    <row r="29" spans="1:20" x14ac:dyDescent="0.25">
      <c r="A29" s="29" t="s">
        <v>69</v>
      </c>
      <c r="B29" s="30">
        <v>45321</v>
      </c>
      <c r="C29" s="4" t="s">
        <v>10</v>
      </c>
      <c r="D29" s="4" t="s">
        <v>11</v>
      </c>
      <c r="E29" s="4" t="s">
        <v>21</v>
      </c>
      <c r="F29" s="31">
        <v>1807</v>
      </c>
      <c r="G29" s="4">
        <v>7</v>
      </c>
      <c r="H29" s="4" t="s">
        <v>28</v>
      </c>
      <c r="I29" s="4" t="s">
        <v>42</v>
      </c>
      <c r="J29" s="4">
        <f t="shared" si="1"/>
        <v>0</v>
      </c>
      <c r="L29" s="32" t="str">
        <f t="shared" si="0"/>
        <v>Low Sales</v>
      </c>
      <c r="M29" s="5" t="str">
        <f t="shared" si="2"/>
        <v>Medium Sales</v>
      </c>
    </row>
    <row r="30" spans="1:20" x14ac:dyDescent="0.25">
      <c r="A30" s="29" t="s">
        <v>82</v>
      </c>
      <c r="B30" s="30">
        <v>45332</v>
      </c>
      <c r="C30" s="4" t="s">
        <v>16</v>
      </c>
      <c r="D30" s="4" t="s">
        <v>11</v>
      </c>
      <c r="E30" s="4" t="s">
        <v>21</v>
      </c>
      <c r="F30" s="31">
        <v>3031</v>
      </c>
      <c r="G30" s="4">
        <v>8</v>
      </c>
      <c r="H30" s="4" t="s">
        <v>58</v>
      </c>
      <c r="I30" s="4" t="s">
        <v>42</v>
      </c>
      <c r="J30" s="4">
        <f t="shared" si="1"/>
        <v>1</v>
      </c>
      <c r="L30" s="32" t="str">
        <f t="shared" si="0"/>
        <v>High Sales</v>
      </c>
      <c r="M30" s="5" t="str">
        <f t="shared" si="2"/>
        <v>High Sales</v>
      </c>
    </row>
    <row r="31" spans="1:20" x14ac:dyDescent="0.25">
      <c r="A31" s="29" t="s">
        <v>71</v>
      </c>
      <c r="B31" s="30">
        <v>45323</v>
      </c>
      <c r="C31" s="4" t="s">
        <v>10</v>
      </c>
      <c r="D31" s="4" t="s">
        <v>11</v>
      </c>
      <c r="E31" s="4" t="s">
        <v>21</v>
      </c>
      <c r="F31" s="31">
        <v>1833</v>
      </c>
      <c r="G31" s="4">
        <v>9</v>
      </c>
      <c r="H31" s="4" t="s">
        <v>72</v>
      </c>
      <c r="I31" s="4" t="s">
        <v>23</v>
      </c>
      <c r="J31" s="4">
        <f t="shared" si="1"/>
        <v>0</v>
      </c>
      <c r="L31" s="32" t="str">
        <f t="shared" si="0"/>
        <v>Low Sales</v>
      </c>
      <c r="M31" s="5" t="str">
        <f t="shared" si="2"/>
        <v>Medium Sales</v>
      </c>
    </row>
    <row r="32" spans="1:20" x14ac:dyDescent="0.25">
      <c r="A32" s="29" t="s">
        <v>57</v>
      </c>
      <c r="B32" s="30">
        <v>45313</v>
      </c>
      <c r="C32" s="4" t="s">
        <v>30</v>
      </c>
      <c r="D32" s="4" t="s">
        <v>26</v>
      </c>
      <c r="E32" s="4" t="s">
        <v>21</v>
      </c>
      <c r="F32" s="31">
        <v>3099</v>
      </c>
      <c r="G32" s="4">
        <v>7</v>
      </c>
      <c r="H32" s="4" t="s">
        <v>58</v>
      </c>
      <c r="I32" s="4" t="s">
        <v>14</v>
      </c>
      <c r="J32" s="4">
        <f t="shared" si="1"/>
        <v>1</v>
      </c>
      <c r="L32" s="32" t="str">
        <f t="shared" si="0"/>
        <v>High Sales</v>
      </c>
      <c r="M32" s="5" t="str">
        <f t="shared" si="2"/>
        <v>High Sales</v>
      </c>
    </row>
    <row r="33" spans="1:13" x14ac:dyDescent="0.25">
      <c r="A33" s="29" t="s">
        <v>27</v>
      </c>
      <c r="B33" s="30">
        <v>45296</v>
      </c>
      <c r="C33" s="4" t="s">
        <v>10</v>
      </c>
      <c r="D33" s="4" t="s">
        <v>11</v>
      </c>
      <c r="E33" s="4" t="s">
        <v>21</v>
      </c>
      <c r="F33" s="31">
        <v>4513</v>
      </c>
      <c r="G33" s="4">
        <v>3</v>
      </c>
      <c r="H33" s="4" t="s">
        <v>28</v>
      </c>
      <c r="I33" s="4" t="s">
        <v>14</v>
      </c>
      <c r="J33" s="4">
        <f t="shared" si="1"/>
        <v>1</v>
      </c>
      <c r="L33" s="32" t="str">
        <f t="shared" si="0"/>
        <v>High Sales</v>
      </c>
      <c r="M33" s="5" t="str">
        <f t="shared" si="2"/>
        <v>High Sales</v>
      </c>
    </row>
    <row r="34" spans="1:13" x14ac:dyDescent="0.25">
      <c r="A34" s="29" t="s">
        <v>70</v>
      </c>
      <c r="B34" s="30">
        <v>45322</v>
      </c>
      <c r="C34" s="4" t="s">
        <v>25</v>
      </c>
      <c r="D34" s="4" t="s">
        <v>26</v>
      </c>
      <c r="E34" s="4" t="s">
        <v>21</v>
      </c>
      <c r="F34" s="31">
        <v>2877</v>
      </c>
      <c r="G34" s="4">
        <v>9</v>
      </c>
      <c r="H34" s="4" t="s">
        <v>39</v>
      </c>
      <c r="I34" s="4" t="s">
        <v>42</v>
      </c>
      <c r="J34" s="4">
        <f t="shared" si="1"/>
        <v>1</v>
      </c>
      <c r="L34" s="32" t="str">
        <f t="shared" si="0"/>
        <v>High Sales</v>
      </c>
      <c r="M34" s="5" t="str">
        <f t="shared" si="2"/>
        <v>High Sales</v>
      </c>
    </row>
    <row r="35" spans="1:13" x14ac:dyDescent="0.25">
      <c r="A35" s="29" t="s">
        <v>20</v>
      </c>
      <c r="B35" s="30">
        <v>45294</v>
      </c>
      <c r="C35" s="4" t="s">
        <v>10</v>
      </c>
      <c r="D35" s="4" t="s">
        <v>11</v>
      </c>
      <c r="E35" s="4" t="s">
        <v>21</v>
      </c>
      <c r="F35" s="31">
        <v>809</v>
      </c>
      <c r="G35" s="4">
        <v>4</v>
      </c>
      <c r="H35" s="4" t="s">
        <v>22</v>
      </c>
      <c r="I35" s="4" t="s">
        <v>23</v>
      </c>
      <c r="J35" s="4">
        <f t="shared" si="1"/>
        <v>0</v>
      </c>
      <c r="L35" s="32" t="str">
        <f t="shared" si="0"/>
        <v>Low Sales</v>
      </c>
      <c r="M35" s="5" t="str">
        <f t="shared" si="2"/>
        <v>Low Sales</v>
      </c>
    </row>
    <row r="36" spans="1:13" x14ac:dyDescent="0.25">
      <c r="A36" s="29" t="s">
        <v>79</v>
      </c>
      <c r="B36" s="30">
        <v>45329</v>
      </c>
      <c r="C36" s="4" t="s">
        <v>16</v>
      </c>
      <c r="D36" s="4" t="s">
        <v>26</v>
      </c>
      <c r="E36" s="4" t="s">
        <v>21</v>
      </c>
      <c r="F36" s="31">
        <v>866</v>
      </c>
      <c r="G36" s="4">
        <v>6</v>
      </c>
      <c r="H36" s="4" t="s">
        <v>13</v>
      </c>
      <c r="I36" s="4" t="s">
        <v>14</v>
      </c>
      <c r="J36" s="4">
        <f t="shared" si="1"/>
        <v>0</v>
      </c>
      <c r="L36" s="32" t="str">
        <f t="shared" si="0"/>
        <v>Low Sales</v>
      </c>
      <c r="M36" s="5" t="str">
        <f t="shared" si="2"/>
        <v>Low Sales</v>
      </c>
    </row>
    <row r="37" spans="1:13" x14ac:dyDescent="0.25">
      <c r="A37" s="29" t="s">
        <v>73</v>
      </c>
      <c r="B37" s="30">
        <v>45324</v>
      </c>
      <c r="C37" s="4" t="s">
        <v>16</v>
      </c>
      <c r="D37" s="4" t="s">
        <v>11</v>
      </c>
      <c r="E37" s="4" t="s">
        <v>21</v>
      </c>
      <c r="F37" s="31">
        <v>3610</v>
      </c>
      <c r="G37" s="4">
        <v>3</v>
      </c>
      <c r="H37" s="4" t="s">
        <v>39</v>
      </c>
      <c r="I37" s="4" t="s">
        <v>14</v>
      </c>
      <c r="J37" s="4">
        <f t="shared" si="1"/>
        <v>1</v>
      </c>
      <c r="L37" s="32" t="str">
        <f t="shared" si="0"/>
        <v>High Sales</v>
      </c>
      <c r="M37" s="5" t="str">
        <f t="shared" si="2"/>
        <v>High Sales</v>
      </c>
    </row>
    <row r="38" spans="1:13" x14ac:dyDescent="0.25">
      <c r="A38" s="29" t="s">
        <v>50</v>
      </c>
      <c r="B38" s="30">
        <v>45308</v>
      </c>
      <c r="C38" s="4" t="s">
        <v>10</v>
      </c>
      <c r="D38" s="4" t="s">
        <v>11</v>
      </c>
      <c r="E38" s="4" t="s">
        <v>21</v>
      </c>
      <c r="F38" s="31">
        <v>1391</v>
      </c>
      <c r="G38" s="4">
        <v>9</v>
      </c>
      <c r="H38" s="4" t="s">
        <v>51</v>
      </c>
      <c r="I38" s="4" t="s">
        <v>19</v>
      </c>
      <c r="J38" s="4">
        <f t="shared" si="1"/>
        <v>0</v>
      </c>
      <c r="L38" s="32" t="str">
        <f t="shared" si="0"/>
        <v>Low Sales</v>
      </c>
      <c r="M38" s="5" t="str">
        <f t="shared" si="2"/>
        <v>Low Sales</v>
      </c>
    </row>
    <row r="39" spans="1:13" x14ac:dyDescent="0.25">
      <c r="A39" s="29" t="s">
        <v>29</v>
      </c>
      <c r="B39" s="30">
        <v>45297</v>
      </c>
      <c r="C39" s="4" t="s">
        <v>30</v>
      </c>
      <c r="D39" s="4" t="s">
        <v>26</v>
      </c>
      <c r="E39" s="4" t="s">
        <v>21</v>
      </c>
      <c r="F39" s="31">
        <v>2806</v>
      </c>
      <c r="G39" s="4">
        <v>3</v>
      </c>
      <c r="H39" s="4" t="s">
        <v>13</v>
      </c>
      <c r="I39" s="4" t="s">
        <v>19</v>
      </c>
      <c r="J39" s="4">
        <f t="shared" si="1"/>
        <v>1</v>
      </c>
      <c r="L39" s="32" t="str">
        <f t="shared" si="0"/>
        <v>High Sales</v>
      </c>
      <c r="M39" s="5" t="str">
        <f t="shared" si="2"/>
        <v>High Sales</v>
      </c>
    </row>
    <row r="40" spans="1:13" x14ac:dyDescent="0.25">
      <c r="A40" s="29" t="s">
        <v>64</v>
      </c>
      <c r="B40" s="30">
        <v>45317</v>
      </c>
      <c r="C40" s="4" t="s">
        <v>30</v>
      </c>
      <c r="D40" s="4" t="s">
        <v>11</v>
      </c>
      <c r="E40" s="4" t="s">
        <v>32</v>
      </c>
      <c r="F40" s="31">
        <v>4197</v>
      </c>
      <c r="G40" s="4">
        <v>2</v>
      </c>
      <c r="H40" s="4" t="s">
        <v>63</v>
      </c>
      <c r="I40" s="4" t="s">
        <v>42</v>
      </c>
      <c r="J40" s="4">
        <f t="shared" si="1"/>
        <v>1</v>
      </c>
      <c r="L40" s="32" t="str">
        <f t="shared" si="0"/>
        <v>High Sales</v>
      </c>
      <c r="M40" s="5" t="str">
        <f t="shared" si="2"/>
        <v>High Sales</v>
      </c>
    </row>
    <row r="41" spans="1:13" x14ac:dyDescent="0.25">
      <c r="A41" s="29" t="s">
        <v>77</v>
      </c>
      <c r="B41" s="30">
        <v>45327</v>
      </c>
      <c r="C41" s="4" t="s">
        <v>30</v>
      </c>
      <c r="D41" s="4" t="s">
        <v>11</v>
      </c>
      <c r="E41" s="4" t="s">
        <v>32</v>
      </c>
      <c r="F41" s="31">
        <v>4318</v>
      </c>
      <c r="G41" s="4">
        <v>4</v>
      </c>
      <c r="H41" s="4" t="s">
        <v>60</v>
      </c>
      <c r="I41" s="4" t="s">
        <v>19</v>
      </c>
      <c r="J41" s="4">
        <f t="shared" si="1"/>
        <v>1</v>
      </c>
      <c r="L41" s="32" t="str">
        <f t="shared" si="0"/>
        <v>High Sales</v>
      </c>
      <c r="M41" s="5" t="str">
        <f t="shared" si="2"/>
        <v>High Sales</v>
      </c>
    </row>
    <row r="42" spans="1:13" x14ac:dyDescent="0.25">
      <c r="A42" s="29" t="s">
        <v>56</v>
      </c>
      <c r="B42" s="30">
        <v>45312</v>
      </c>
      <c r="C42" s="4" t="s">
        <v>10</v>
      </c>
      <c r="D42" s="4" t="s">
        <v>11</v>
      </c>
      <c r="E42" s="4" t="s">
        <v>32</v>
      </c>
      <c r="F42" s="31">
        <v>3796</v>
      </c>
      <c r="G42" s="4">
        <v>3</v>
      </c>
      <c r="H42" s="4" t="s">
        <v>33</v>
      </c>
      <c r="I42" s="4" t="s">
        <v>42</v>
      </c>
      <c r="J42" s="4">
        <f t="shared" si="1"/>
        <v>1</v>
      </c>
      <c r="L42" s="32" t="str">
        <f t="shared" si="0"/>
        <v>High Sales</v>
      </c>
      <c r="M42" s="5" t="str">
        <f t="shared" si="2"/>
        <v>High Sales</v>
      </c>
    </row>
    <row r="43" spans="1:13" x14ac:dyDescent="0.25">
      <c r="A43" s="29" t="s">
        <v>76</v>
      </c>
      <c r="B43" s="30">
        <v>45326</v>
      </c>
      <c r="C43" s="4" t="s">
        <v>30</v>
      </c>
      <c r="D43" s="4" t="s">
        <v>26</v>
      </c>
      <c r="E43" s="4" t="s">
        <v>32</v>
      </c>
      <c r="F43" s="31">
        <v>3355</v>
      </c>
      <c r="G43" s="4">
        <v>3</v>
      </c>
      <c r="H43" s="4" t="s">
        <v>33</v>
      </c>
      <c r="I43" s="4" t="s">
        <v>23</v>
      </c>
      <c r="J43" s="4">
        <f t="shared" si="1"/>
        <v>1</v>
      </c>
      <c r="L43" s="32" t="str">
        <f t="shared" si="0"/>
        <v>High Sales</v>
      </c>
      <c r="M43" s="5" t="str">
        <f t="shared" si="2"/>
        <v>High Sales</v>
      </c>
    </row>
    <row r="44" spans="1:13" x14ac:dyDescent="0.25">
      <c r="A44" s="29" t="s">
        <v>80</v>
      </c>
      <c r="B44" s="30">
        <v>45330</v>
      </c>
      <c r="C44" s="4" t="s">
        <v>25</v>
      </c>
      <c r="D44" s="4" t="s">
        <v>11</v>
      </c>
      <c r="E44" s="4" t="s">
        <v>32</v>
      </c>
      <c r="F44" s="31">
        <v>4489</v>
      </c>
      <c r="G44" s="4">
        <v>8</v>
      </c>
      <c r="H44" s="4" t="s">
        <v>54</v>
      </c>
      <c r="I44" s="4" t="s">
        <v>19</v>
      </c>
      <c r="J44" s="4">
        <f t="shared" si="1"/>
        <v>1</v>
      </c>
      <c r="L44" s="32" t="str">
        <f t="shared" si="0"/>
        <v>High Sales</v>
      </c>
      <c r="M44" s="5" t="str">
        <f t="shared" si="2"/>
        <v>High Sales</v>
      </c>
    </row>
    <row r="45" spans="1:13" x14ac:dyDescent="0.25">
      <c r="A45" s="29" t="s">
        <v>59</v>
      </c>
      <c r="B45" s="30">
        <v>45314</v>
      </c>
      <c r="C45" s="4" t="s">
        <v>10</v>
      </c>
      <c r="D45" s="4" t="s">
        <v>26</v>
      </c>
      <c r="E45" s="4" t="s">
        <v>32</v>
      </c>
      <c r="F45" s="31">
        <v>3252</v>
      </c>
      <c r="G45" s="4">
        <v>9</v>
      </c>
      <c r="H45" s="4" t="s">
        <v>60</v>
      </c>
      <c r="I45" s="4" t="s">
        <v>19</v>
      </c>
      <c r="J45" s="4">
        <f t="shared" si="1"/>
        <v>1</v>
      </c>
      <c r="L45" s="32" t="str">
        <f t="shared" si="0"/>
        <v>High Sales</v>
      </c>
      <c r="M45" s="5" t="str">
        <f t="shared" si="2"/>
        <v>High Sales</v>
      </c>
    </row>
    <row r="46" spans="1:13" x14ac:dyDescent="0.25">
      <c r="A46" s="29" t="s">
        <v>31</v>
      </c>
      <c r="B46" s="30">
        <v>45298</v>
      </c>
      <c r="C46" s="4" t="s">
        <v>30</v>
      </c>
      <c r="D46" s="4" t="s">
        <v>11</v>
      </c>
      <c r="E46" s="4" t="s">
        <v>32</v>
      </c>
      <c r="F46" s="31">
        <v>4879</v>
      </c>
      <c r="G46" s="4">
        <v>4</v>
      </c>
      <c r="H46" s="4" t="s">
        <v>33</v>
      </c>
      <c r="I46" s="4" t="s">
        <v>23</v>
      </c>
      <c r="J46" s="4">
        <f t="shared" si="1"/>
        <v>1</v>
      </c>
      <c r="L46" s="32" t="str">
        <f t="shared" si="0"/>
        <v>High Sales</v>
      </c>
      <c r="M46" s="5" t="str">
        <f t="shared" si="2"/>
        <v>High Sales</v>
      </c>
    </row>
    <row r="47" spans="1:13" x14ac:dyDescent="0.25">
      <c r="A47" s="29" t="s">
        <v>90</v>
      </c>
      <c r="B47" s="30">
        <v>45340</v>
      </c>
      <c r="C47" s="4" t="s">
        <v>41</v>
      </c>
      <c r="D47" s="4" t="s">
        <v>11</v>
      </c>
      <c r="E47" s="4" t="s">
        <v>32</v>
      </c>
      <c r="F47" s="31">
        <v>3497</v>
      </c>
      <c r="G47" s="4">
        <v>3</v>
      </c>
      <c r="H47" s="4" t="s">
        <v>13</v>
      </c>
      <c r="I47" s="4" t="s">
        <v>14</v>
      </c>
      <c r="J47" s="4">
        <f t="shared" si="1"/>
        <v>1</v>
      </c>
      <c r="L47" s="32" t="str">
        <f t="shared" si="0"/>
        <v>High Sales</v>
      </c>
      <c r="M47" s="5" t="str">
        <f t="shared" si="2"/>
        <v>High Sales</v>
      </c>
    </row>
    <row r="48" spans="1:13" x14ac:dyDescent="0.25">
      <c r="A48" s="29" t="s">
        <v>68</v>
      </c>
      <c r="B48" s="30">
        <v>45320</v>
      </c>
      <c r="C48" s="4" t="s">
        <v>25</v>
      </c>
      <c r="D48" s="4" t="s">
        <v>11</v>
      </c>
      <c r="E48" s="4" t="s">
        <v>32</v>
      </c>
      <c r="F48" s="31">
        <v>3574</v>
      </c>
      <c r="G48" s="4">
        <v>5</v>
      </c>
      <c r="H48" s="4" t="s">
        <v>49</v>
      </c>
      <c r="I48" s="4" t="s">
        <v>42</v>
      </c>
      <c r="J48" s="4">
        <f t="shared" si="1"/>
        <v>1</v>
      </c>
      <c r="L48" s="32" t="str">
        <f t="shared" si="0"/>
        <v>High Sales</v>
      </c>
      <c r="M48" s="5" t="str">
        <f t="shared" si="2"/>
        <v>High Sales</v>
      </c>
    </row>
    <row r="49" spans="1:13" x14ac:dyDescent="0.25">
      <c r="A49" s="29" t="s">
        <v>61</v>
      </c>
      <c r="B49" s="30">
        <v>45315</v>
      </c>
      <c r="C49" s="4" t="s">
        <v>10</v>
      </c>
      <c r="D49" s="4" t="s">
        <v>26</v>
      </c>
      <c r="E49" s="4" t="s">
        <v>32</v>
      </c>
      <c r="F49" s="31">
        <v>798</v>
      </c>
      <c r="G49" s="4">
        <v>4</v>
      </c>
      <c r="H49" s="4" t="s">
        <v>22</v>
      </c>
      <c r="I49" s="4" t="s">
        <v>42</v>
      </c>
      <c r="J49" s="4">
        <f t="shared" si="1"/>
        <v>0</v>
      </c>
      <c r="L49" s="32" t="str">
        <f t="shared" si="0"/>
        <v>Low Sales</v>
      </c>
      <c r="M49" s="5" t="str">
        <f t="shared" si="2"/>
        <v>Low Sales</v>
      </c>
    </row>
    <row r="50" spans="1:13" x14ac:dyDescent="0.25">
      <c r="A50" s="29" t="s">
        <v>85</v>
      </c>
      <c r="B50" s="30">
        <v>45335</v>
      </c>
      <c r="C50" s="4" t="s">
        <v>16</v>
      </c>
      <c r="D50" s="4" t="s">
        <v>26</v>
      </c>
      <c r="E50" s="4" t="s">
        <v>32</v>
      </c>
      <c r="F50" s="31">
        <v>3682</v>
      </c>
      <c r="G50" s="4">
        <v>8</v>
      </c>
      <c r="H50" s="4" t="s">
        <v>13</v>
      </c>
      <c r="I50" s="4" t="s">
        <v>19</v>
      </c>
      <c r="J50" s="4">
        <f t="shared" si="1"/>
        <v>1</v>
      </c>
      <c r="L50" s="32" t="str">
        <f t="shared" si="0"/>
        <v>High Sales</v>
      </c>
      <c r="M50" s="5" t="str">
        <f t="shared" si="2"/>
        <v>High Sales</v>
      </c>
    </row>
    <row r="51" spans="1:13" x14ac:dyDescent="0.25">
      <c r="A51" s="29" t="s">
        <v>40</v>
      </c>
      <c r="B51" s="30">
        <v>45302</v>
      </c>
      <c r="C51" s="4" t="s">
        <v>41</v>
      </c>
      <c r="D51" s="4" t="s">
        <v>26</v>
      </c>
      <c r="E51" s="4" t="s">
        <v>17</v>
      </c>
      <c r="F51" s="31">
        <v>3843</v>
      </c>
      <c r="G51" s="4">
        <v>1</v>
      </c>
      <c r="H51" s="4" t="s">
        <v>37</v>
      </c>
      <c r="I51" s="4" t="s">
        <v>42</v>
      </c>
      <c r="J51" s="4">
        <f t="shared" si="1"/>
        <v>1</v>
      </c>
      <c r="L51" s="39" t="str">
        <f t="shared" si="0"/>
        <v>High Sales</v>
      </c>
      <c r="M51" s="40" t="str">
        <f t="shared" si="2"/>
        <v>High Sales</v>
      </c>
    </row>
    <row r="53" spans="1:13" ht="105" x14ac:dyDescent="0.25">
      <c r="A53" s="41"/>
      <c r="B53" s="41"/>
      <c r="C53" s="41"/>
      <c r="D53" s="41"/>
      <c r="L53" s="42" t="s">
        <v>141</v>
      </c>
      <c r="M53" s="42" t="s">
        <v>142</v>
      </c>
    </row>
  </sheetData>
  <mergeCells count="4">
    <mergeCell ref="O12:T12"/>
    <mergeCell ref="O20:Q20"/>
    <mergeCell ref="O1:P1"/>
    <mergeCell ref="O9:Q9"/>
  </mergeCells>
  <conditionalFormatting sqref="F2:F51">
    <cfRule type="cellIs" dxfId="5" priority="3" operator="lessThan">
      <formula>2000</formula>
    </cfRule>
    <cfRule type="cellIs" dxfId="4" priority="4" operator="greaterThan">
      <formula>2000</formula>
    </cfRule>
  </conditionalFormatting>
  <conditionalFormatting sqref="G2:G51">
    <cfRule type="dataBar" priority="2">
      <dataBar>
        <cfvo type="num" val="0"/>
        <cfvo type="num" val="20"/>
        <color rgb="FF638EC6"/>
      </dataBar>
      <extLst>
        <ext xmlns:x14="http://schemas.microsoft.com/office/spreadsheetml/2009/9/main" uri="{B025F937-C7B1-47D3-B67F-A62EFF666E3E}">
          <x14:id>{C1A44121-A1B0-4689-B6B6-F76783A12863}</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1A44121-A1B0-4689-B6B6-F76783A12863}">
            <x14:dataBar minLength="0" maxLength="100" border="1" negativeBarBorderColorSameAsPositive="0">
              <x14:cfvo type="num">
                <xm:f>0</xm:f>
              </x14:cfvo>
              <x14:cfvo type="num">
                <xm:f>20</xm:f>
              </x14:cfvo>
              <x14:borderColor rgb="FF638EC6"/>
              <x14:negativeFillColor rgb="FFFF0000"/>
              <x14:negativeBorderColor rgb="FFFF0000"/>
              <x14:axisColor rgb="FF000000"/>
            </x14:dataBar>
          </x14:cfRule>
          <xm:sqref>G2:G51</xm:sqref>
        </x14:conditionalFormatting>
        <x14:conditionalFormatting xmlns:xm="http://schemas.microsoft.com/office/excel/2006/main">
          <x14:cfRule type="iconSet" priority="1" id="{1C8715AA-9DC3-4E36-B66B-92F9C660462B}">
            <x14:iconSet iconSet="3Symbols2" showValue="0" custom="1">
              <x14:cfvo type="percent">
                <xm:f>0</xm:f>
              </x14:cfvo>
              <x14:cfvo type="num">
                <xm:f>0</xm:f>
              </x14:cfvo>
              <x14:cfvo type="num">
                <xm:f>1</xm:f>
              </x14:cfvo>
              <x14:cfIcon iconSet="NoIcons" iconId="0"/>
              <x14:cfIcon iconSet="NoIcons" iconId="0"/>
              <x14:cfIcon iconSet="3Symbols2" iconId="2"/>
            </x14:iconSet>
          </x14:cfRule>
          <xm:sqref>J2:J51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002-B1F5-493C-9285-68875986276D}">
  <dimension ref="A1:T51"/>
  <sheetViews>
    <sheetView workbookViewId="0">
      <selection activeCell="K17" sqref="K17"/>
    </sheetView>
  </sheetViews>
  <sheetFormatPr defaultRowHeight="15" x14ac:dyDescent="0.25"/>
  <cols>
    <col min="1" max="1" width="15.42578125" customWidth="1"/>
    <col min="2" max="2" width="17" customWidth="1"/>
    <col min="3" max="3" width="12.85546875" customWidth="1"/>
    <col min="4" max="4" width="15.5703125" customWidth="1"/>
    <col min="5" max="5" width="12.140625" customWidth="1"/>
    <col min="6" max="6" width="16.5703125" customWidth="1"/>
    <col min="7" max="7" width="13" customWidth="1"/>
    <col min="8" max="8" width="19.140625" customWidth="1"/>
    <col min="9" max="9" width="17.140625" customWidth="1"/>
  </cols>
  <sheetData>
    <row r="1" spans="1:20" s="101" customFormat="1" x14ac:dyDescent="0.25">
      <c r="A1" s="98" t="s">
        <v>0</v>
      </c>
      <c r="B1" s="99" t="s">
        <v>1</v>
      </c>
      <c r="C1" s="98" t="s">
        <v>2</v>
      </c>
      <c r="D1" s="98" t="s">
        <v>3</v>
      </c>
      <c r="E1" s="98" t="s">
        <v>4</v>
      </c>
      <c r="F1" s="100" t="s">
        <v>5</v>
      </c>
      <c r="G1" s="98" t="s">
        <v>6</v>
      </c>
      <c r="H1" s="98" t="s">
        <v>7</v>
      </c>
      <c r="I1" s="98" t="s">
        <v>8</v>
      </c>
    </row>
    <row r="2" spans="1:20" x14ac:dyDescent="0.25">
      <c r="A2" s="4" t="s">
        <v>48</v>
      </c>
      <c r="B2" s="30">
        <v>45307</v>
      </c>
      <c r="C2" s="4" t="s">
        <v>10</v>
      </c>
      <c r="D2" s="4" t="s">
        <v>11</v>
      </c>
      <c r="E2" s="4" t="s">
        <v>17</v>
      </c>
      <c r="F2" s="43">
        <v>4759</v>
      </c>
      <c r="G2" s="4">
        <v>1</v>
      </c>
      <c r="H2" s="4" t="s">
        <v>49</v>
      </c>
      <c r="I2" s="4" t="s">
        <v>42</v>
      </c>
      <c r="L2" t="s">
        <v>17</v>
      </c>
      <c r="M2" s="4" t="s">
        <v>11</v>
      </c>
    </row>
    <row r="3" spans="1:20" x14ac:dyDescent="0.25">
      <c r="A3" s="4" t="s">
        <v>87</v>
      </c>
      <c r="B3" s="30">
        <v>45337</v>
      </c>
      <c r="C3" s="4" t="s">
        <v>41</v>
      </c>
      <c r="D3" s="4" t="s">
        <v>26</v>
      </c>
      <c r="E3" s="4" t="s">
        <v>17</v>
      </c>
      <c r="F3" s="43">
        <v>3372</v>
      </c>
      <c r="G3" s="4">
        <v>6</v>
      </c>
      <c r="H3" s="4" t="s">
        <v>75</v>
      </c>
      <c r="I3" s="4" t="s">
        <v>23</v>
      </c>
      <c r="L3" t="s">
        <v>32</v>
      </c>
      <c r="M3" s="4" t="s">
        <v>26</v>
      </c>
    </row>
    <row r="4" spans="1:20" x14ac:dyDescent="0.25">
      <c r="A4" s="4" t="s">
        <v>45</v>
      </c>
      <c r="B4" s="30">
        <v>45305</v>
      </c>
      <c r="C4" s="4" t="s">
        <v>10</v>
      </c>
      <c r="D4" s="4" t="s">
        <v>11</v>
      </c>
      <c r="E4" s="4" t="s">
        <v>17</v>
      </c>
      <c r="F4" s="43">
        <v>3863</v>
      </c>
      <c r="G4" s="4">
        <v>2</v>
      </c>
      <c r="H4" s="4" t="s">
        <v>33</v>
      </c>
      <c r="I4" s="4" t="s">
        <v>19</v>
      </c>
      <c r="L4" t="s">
        <v>12</v>
      </c>
    </row>
    <row r="5" spans="1:20" x14ac:dyDescent="0.25">
      <c r="A5" s="4" t="s">
        <v>86</v>
      </c>
      <c r="B5" s="30">
        <v>45336</v>
      </c>
      <c r="C5" s="4" t="s">
        <v>30</v>
      </c>
      <c r="D5" s="4" t="s">
        <v>26</v>
      </c>
      <c r="E5" s="4" t="s">
        <v>17</v>
      </c>
      <c r="F5" s="43">
        <v>708</v>
      </c>
      <c r="G5" s="4">
        <v>4</v>
      </c>
      <c r="H5" s="4" t="s">
        <v>35</v>
      </c>
      <c r="I5" s="4" t="s">
        <v>42</v>
      </c>
      <c r="L5" t="s">
        <v>21</v>
      </c>
    </row>
    <row r="6" spans="1:20" x14ac:dyDescent="0.25">
      <c r="A6" s="4" t="s">
        <v>83</v>
      </c>
      <c r="B6" s="30">
        <v>45333</v>
      </c>
      <c r="C6" s="4" t="s">
        <v>16</v>
      </c>
      <c r="D6" s="4" t="s">
        <v>11</v>
      </c>
      <c r="E6" s="4" t="s">
        <v>17</v>
      </c>
      <c r="F6" s="43">
        <v>297</v>
      </c>
      <c r="G6" s="4">
        <v>4</v>
      </c>
      <c r="H6" s="4" t="s">
        <v>22</v>
      </c>
      <c r="I6" s="4" t="s">
        <v>19</v>
      </c>
    </row>
    <row r="7" spans="1:20" x14ac:dyDescent="0.25">
      <c r="A7" s="4" t="s">
        <v>34</v>
      </c>
      <c r="B7" s="30">
        <v>45299</v>
      </c>
      <c r="C7" s="4" t="s">
        <v>30</v>
      </c>
      <c r="D7" s="4" t="s">
        <v>26</v>
      </c>
      <c r="E7" s="4" t="s">
        <v>17</v>
      </c>
      <c r="F7" s="43">
        <v>763</v>
      </c>
      <c r="G7" s="4">
        <v>7</v>
      </c>
      <c r="H7" s="4" t="s">
        <v>35</v>
      </c>
      <c r="I7" s="4" t="s">
        <v>14</v>
      </c>
    </row>
    <row r="8" spans="1:20" ht="18.75" x14ac:dyDescent="0.3">
      <c r="A8" s="4" t="s">
        <v>67</v>
      </c>
      <c r="B8" s="30">
        <v>45319</v>
      </c>
      <c r="C8" s="4" t="s">
        <v>25</v>
      </c>
      <c r="D8" s="4" t="s">
        <v>11</v>
      </c>
      <c r="E8" s="4" t="s">
        <v>17</v>
      </c>
      <c r="F8" s="43">
        <v>954</v>
      </c>
      <c r="G8" s="4">
        <v>5</v>
      </c>
      <c r="H8" s="4" t="s">
        <v>60</v>
      </c>
      <c r="I8" s="4" t="s">
        <v>19</v>
      </c>
      <c r="L8" s="88" t="s">
        <v>143</v>
      </c>
      <c r="M8" s="88"/>
      <c r="N8" s="88"/>
      <c r="O8" s="88"/>
      <c r="P8" s="88"/>
      <c r="Q8" s="88"/>
      <c r="R8" s="88"/>
      <c r="S8" s="88"/>
      <c r="T8" s="88"/>
    </row>
    <row r="9" spans="1:20" x14ac:dyDescent="0.25">
      <c r="A9" s="4" t="s">
        <v>62</v>
      </c>
      <c r="B9" s="30">
        <v>45316</v>
      </c>
      <c r="C9" s="4" t="s">
        <v>30</v>
      </c>
      <c r="D9" s="4" t="s">
        <v>11</v>
      </c>
      <c r="E9" s="4" t="s">
        <v>17</v>
      </c>
      <c r="F9" s="43">
        <v>2260</v>
      </c>
      <c r="G9" s="4">
        <v>1</v>
      </c>
      <c r="H9" s="4" t="s">
        <v>63</v>
      </c>
      <c r="I9" s="4" t="s">
        <v>19</v>
      </c>
    </row>
    <row r="10" spans="1:20" x14ac:dyDescent="0.25">
      <c r="A10" s="4" t="s">
        <v>91</v>
      </c>
      <c r="B10" s="30">
        <v>45341</v>
      </c>
      <c r="C10" s="4" t="s">
        <v>41</v>
      </c>
      <c r="D10" s="4" t="s">
        <v>26</v>
      </c>
      <c r="E10" s="4" t="s">
        <v>17</v>
      </c>
      <c r="F10" s="43">
        <v>2611</v>
      </c>
      <c r="G10" s="4">
        <v>9</v>
      </c>
      <c r="H10" s="4" t="s">
        <v>39</v>
      </c>
      <c r="I10" s="4" t="s">
        <v>42</v>
      </c>
    </row>
    <row r="11" spans="1:20" x14ac:dyDescent="0.25">
      <c r="A11" s="4" t="s">
        <v>15</v>
      </c>
      <c r="B11" s="30">
        <v>45293</v>
      </c>
      <c r="C11" s="4" t="s">
        <v>16</v>
      </c>
      <c r="D11" s="4" t="s">
        <v>11</v>
      </c>
      <c r="E11" s="4" t="s">
        <v>17</v>
      </c>
      <c r="F11" s="43">
        <v>1382</v>
      </c>
      <c r="G11" s="4">
        <v>4</v>
      </c>
      <c r="H11" s="4" t="s">
        <v>18</v>
      </c>
      <c r="I11" s="4" t="s">
        <v>19</v>
      </c>
    </row>
    <row r="12" spans="1:20" x14ac:dyDescent="0.25">
      <c r="A12" s="4" t="s">
        <v>88</v>
      </c>
      <c r="B12" s="30">
        <v>45338</v>
      </c>
      <c r="C12" s="4" t="s">
        <v>41</v>
      </c>
      <c r="D12" s="4" t="s">
        <v>11</v>
      </c>
      <c r="E12" s="4" t="s">
        <v>17</v>
      </c>
      <c r="F12" s="43">
        <v>1247</v>
      </c>
      <c r="G12" s="4">
        <v>8</v>
      </c>
      <c r="H12" s="4" t="s">
        <v>54</v>
      </c>
      <c r="I12" s="4" t="s">
        <v>14</v>
      </c>
      <c r="L12" s="93"/>
      <c r="M12" s="93"/>
      <c r="N12" s="93"/>
      <c r="O12" s="93"/>
      <c r="P12" s="93"/>
      <c r="Q12" s="93"/>
      <c r="R12" s="93"/>
      <c r="S12" s="93"/>
      <c r="T12" s="93"/>
    </row>
    <row r="13" spans="1:20" x14ac:dyDescent="0.25">
      <c r="A13" s="4" t="s">
        <v>65</v>
      </c>
      <c r="B13" s="30">
        <v>45318</v>
      </c>
      <c r="C13" s="4" t="s">
        <v>16</v>
      </c>
      <c r="D13" s="4" t="s">
        <v>11</v>
      </c>
      <c r="E13" s="4" t="s">
        <v>17</v>
      </c>
      <c r="F13" s="43">
        <v>4837</v>
      </c>
      <c r="G13" s="4">
        <v>1</v>
      </c>
      <c r="H13" s="4" t="s">
        <v>66</v>
      </c>
      <c r="I13" s="4" t="s">
        <v>19</v>
      </c>
    </row>
    <row r="14" spans="1:20" x14ac:dyDescent="0.25">
      <c r="A14" s="4" t="s">
        <v>24</v>
      </c>
      <c r="B14" s="30">
        <v>45295</v>
      </c>
      <c r="C14" s="4" t="s">
        <v>25</v>
      </c>
      <c r="D14" s="4" t="s">
        <v>26</v>
      </c>
      <c r="E14" s="4" t="s">
        <v>17</v>
      </c>
      <c r="F14" s="43">
        <v>4844</v>
      </c>
      <c r="G14" s="4">
        <v>3</v>
      </c>
      <c r="H14" s="4" t="s">
        <v>18</v>
      </c>
      <c r="I14" s="4" t="s">
        <v>23</v>
      </c>
    </row>
    <row r="15" spans="1:20" x14ac:dyDescent="0.25">
      <c r="A15" s="4" t="s">
        <v>43</v>
      </c>
      <c r="B15" s="30">
        <v>45303</v>
      </c>
      <c r="C15" s="4" t="s">
        <v>16</v>
      </c>
      <c r="D15" s="4" t="s">
        <v>26</v>
      </c>
      <c r="E15" s="4" t="s">
        <v>12</v>
      </c>
      <c r="F15" s="43">
        <v>1595</v>
      </c>
      <c r="G15" s="4">
        <v>8</v>
      </c>
      <c r="H15" s="4" t="s">
        <v>39</v>
      </c>
      <c r="I15" s="4" t="s">
        <v>23</v>
      </c>
    </row>
    <row r="16" spans="1:20" x14ac:dyDescent="0.25">
      <c r="A16" s="4" t="s">
        <v>9</v>
      </c>
      <c r="B16" s="30">
        <v>45292</v>
      </c>
      <c r="C16" s="4" t="s">
        <v>10</v>
      </c>
      <c r="D16" s="4" t="s">
        <v>11</v>
      </c>
      <c r="E16" s="4" t="s">
        <v>12</v>
      </c>
      <c r="F16" s="43">
        <v>2775</v>
      </c>
      <c r="G16" s="4">
        <v>3</v>
      </c>
      <c r="H16" s="4" t="s">
        <v>13</v>
      </c>
      <c r="I16" s="4" t="s">
        <v>14</v>
      </c>
    </row>
    <row r="17" spans="1:9" x14ac:dyDescent="0.25">
      <c r="A17" s="4" t="s">
        <v>89</v>
      </c>
      <c r="B17" s="30">
        <v>45339</v>
      </c>
      <c r="C17" s="4" t="s">
        <v>16</v>
      </c>
      <c r="D17" s="4" t="s">
        <v>11</v>
      </c>
      <c r="E17" s="4" t="s">
        <v>12</v>
      </c>
      <c r="F17" s="43">
        <v>4382</v>
      </c>
      <c r="G17" s="4">
        <v>4</v>
      </c>
      <c r="H17" s="4" t="s">
        <v>22</v>
      </c>
      <c r="I17" s="4" t="s">
        <v>23</v>
      </c>
    </row>
    <row r="18" spans="1:9" x14ac:dyDescent="0.25">
      <c r="A18" s="4" t="s">
        <v>55</v>
      </c>
      <c r="B18" s="30">
        <v>45311</v>
      </c>
      <c r="C18" s="4" t="s">
        <v>10</v>
      </c>
      <c r="D18" s="4" t="s">
        <v>11</v>
      </c>
      <c r="E18" s="4" t="s">
        <v>12</v>
      </c>
      <c r="F18" s="43">
        <v>1736</v>
      </c>
      <c r="G18" s="4">
        <v>7</v>
      </c>
      <c r="H18" s="4" t="s">
        <v>39</v>
      </c>
      <c r="I18" s="4" t="s">
        <v>14</v>
      </c>
    </row>
    <row r="19" spans="1:9" x14ac:dyDescent="0.25">
      <c r="A19" s="4" t="s">
        <v>84</v>
      </c>
      <c r="B19" s="30">
        <v>45334</v>
      </c>
      <c r="C19" s="4" t="s">
        <v>16</v>
      </c>
      <c r="D19" s="4" t="s">
        <v>11</v>
      </c>
      <c r="E19" s="4" t="s">
        <v>12</v>
      </c>
      <c r="F19" s="43">
        <v>2030</v>
      </c>
      <c r="G19" s="4">
        <v>1</v>
      </c>
      <c r="H19" s="4" t="s">
        <v>63</v>
      </c>
      <c r="I19" s="4" t="s">
        <v>42</v>
      </c>
    </row>
    <row r="20" spans="1:9" x14ac:dyDescent="0.25">
      <c r="A20" s="4" t="s">
        <v>38</v>
      </c>
      <c r="B20" s="30">
        <v>45301</v>
      </c>
      <c r="C20" s="4" t="s">
        <v>25</v>
      </c>
      <c r="D20" s="4" t="s">
        <v>11</v>
      </c>
      <c r="E20" s="4" t="s">
        <v>12</v>
      </c>
      <c r="F20" s="43">
        <v>3545</v>
      </c>
      <c r="G20" s="4">
        <v>9</v>
      </c>
      <c r="H20" s="4" t="s">
        <v>39</v>
      </c>
      <c r="I20" s="4" t="s">
        <v>14</v>
      </c>
    </row>
    <row r="21" spans="1:9" x14ac:dyDescent="0.25">
      <c r="A21" s="4" t="s">
        <v>36</v>
      </c>
      <c r="B21" s="30">
        <v>45300</v>
      </c>
      <c r="C21" s="4" t="s">
        <v>30</v>
      </c>
      <c r="D21" s="4" t="s">
        <v>11</v>
      </c>
      <c r="E21" s="4" t="s">
        <v>12</v>
      </c>
      <c r="F21" s="43">
        <v>2098</v>
      </c>
      <c r="G21" s="4">
        <v>4</v>
      </c>
      <c r="H21" s="4" t="s">
        <v>37</v>
      </c>
      <c r="I21" s="4" t="s">
        <v>19</v>
      </c>
    </row>
    <row r="22" spans="1:9" x14ac:dyDescent="0.25">
      <c r="A22" s="4" t="s">
        <v>44</v>
      </c>
      <c r="B22" s="30">
        <v>45304</v>
      </c>
      <c r="C22" s="4" t="s">
        <v>30</v>
      </c>
      <c r="D22" s="4" t="s">
        <v>26</v>
      </c>
      <c r="E22" s="4" t="s">
        <v>12</v>
      </c>
      <c r="F22" s="43">
        <v>3404</v>
      </c>
      <c r="G22" s="4">
        <v>7</v>
      </c>
      <c r="H22" s="4" t="s">
        <v>22</v>
      </c>
      <c r="I22" s="4" t="s">
        <v>42</v>
      </c>
    </row>
    <row r="23" spans="1:9" x14ac:dyDescent="0.25">
      <c r="A23" s="4" t="s">
        <v>81</v>
      </c>
      <c r="B23" s="30">
        <v>45331</v>
      </c>
      <c r="C23" s="4" t="s">
        <v>25</v>
      </c>
      <c r="D23" s="4" t="s">
        <v>11</v>
      </c>
      <c r="E23" s="4" t="s">
        <v>12</v>
      </c>
      <c r="F23" s="43">
        <v>2427</v>
      </c>
      <c r="G23" s="4">
        <v>1</v>
      </c>
      <c r="H23" s="4" t="s">
        <v>54</v>
      </c>
      <c r="I23" s="4" t="s">
        <v>23</v>
      </c>
    </row>
    <row r="24" spans="1:9" x14ac:dyDescent="0.25">
      <c r="A24" s="4" t="s">
        <v>78</v>
      </c>
      <c r="B24" s="30">
        <v>45328</v>
      </c>
      <c r="C24" s="4" t="s">
        <v>25</v>
      </c>
      <c r="D24" s="4" t="s">
        <v>11</v>
      </c>
      <c r="E24" s="4" t="s">
        <v>12</v>
      </c>
      <c r="F24" s="43">
        <v>4596</v>
      </c>
      <c r="G24" s="4">
        <v>8</v>
      </c>
      <c r="H24" s="4" t="s">
        <v>37</v>
      </c>
      <c r="I24" s="4" t="s">
        <v>42</v>
      </c>
    </row>
    <row r="25" spans="1:9" x14ac:dyDescent="0.25">
      <c r="A25" s="4" t="s">
        <v>52</v>
      </c>
      <c r="B25" s="30">
        <v>45309</v>
      </c>
      <c r="C25" s="4" t="s">
        <v>30</v>
      </c>
      <c r="D25" s="4" t="s">
        <v>26</v>
      </c>
      <c r="E25" s="4" t="s">
        <v>12</v>
      </c>
      <c r="F25" s="43">
        <v>3681</v>
      </c>
      <c r="G25" s="4">
        <v>9</v>
      </c>
      <c r="H25" s="4" t="s">
        <v>13</v>
      </c>
      <c r="I25" s="4" t="s">
        <v>14</v>
      </c>
    </row>
    <row r="26" spans="1:9" x14ac:dyDescent="0.25">
      <c r="A26" s="4" t="s">
        <v>53</v>
      </c>
      <c r="B26" s="30">
        <v>45310</v>
      </c>
      <c r="C26" s="4" t="s">
        <v>25</v>
      </c>
      <c r="D26" s="4" t="s">
        <v>26</v>
      </c>
      <c r="E26" s="4" t="s">
        <v>12</v>
      </c>
      <c r="F26" s="43">
        <v>3557</v>
      </c>
      <c r="G26" s="4">
        <v>2</v>
      </c>
      <c r="H26" s="4" t="s">
        <v>54</v>
      </c>
      <c r="I26" s="4" t="s">
        <v>42</v>
      </c>
    </row>
    <row r="27" spans="1:9" x14ac:dyDescent="0.25">
      <c r="A27" s="4" t="s">
        <v>74</v>
      </c>
      <c r="B27" s="30">
        <v>45325</v>
      </c>
      <c r="C27" s="4" t="s">
        <v>30</v>
      </c>
      <c r="D27" s="4" t="s">
        <v>11</v>
      </c>
      <c r="E27" s="4" t="s">
        <v>21</v>
      </c>
      <c r="F27" s="43">
        <v>302</v>
      </c>
      <c r="G27" s="4">
        <v>3</v>
      </c>
      <c r="H27" s="4" t="s">
        <v>75</v>
      </c>
      <c r="I27" s="4" t="s">
        <v>23</v>
      </c>
    </row>
    <row r="28" spans="1:9" x14ac:dyDescent="0.25">
      <c r="A28" s="4" t="s">
        <v>46</v>
      </c>
      <c r="B28" s="30">
        <v>45306</v>
      </c>
      <c r="C28" s="4" t="s">
        <v>30</v>
      </c>
      <c r="D28" s="4" t="s">
        <v>26</v>
      </c>
      <c r="E28" s="4" t="s">
        <v>21</v>
      </c>
      <c r="F28" s="43">
        <v>1953</v>
      </c>
      <c r="G28" s="4">
        <v>8</v>
      </c>
      <c r="H28" s="4" t="s">
        <v>47</v>
      </c>
      <c r="I28" s="4" t="s">
        <v>42</v>
      </c>
    </row>
    <row r="29" spans="1:9" x14ac:dyDescent="0.25">
      <c r="A29" s="4" t="s">
        <v>69</v>
      </c>
      <c r="B29" s="30">
        <v>45321</v>
      </c>
      <c r="C29" s="4" t="s">
        <v>10</v>
      </c>
      <c r="D29" s="4" t="s">
        <v>11</v>
      </c>
      <c r="E29" s="4" t="s">
        <v>21</v>
      </c>
      <c r="F29" s="43">
        <v>1807</v>
      </c>
      <c r="G29" s="4">
        <v>7</v>
      </c>
      <c r="H29" s="4" t="s">
        <v>28</v>
      </c>
      <c r="I29" s="4" t="s">
        <v>42</v>
      </c>
    </row>
    <row r="30" spans="1:9" x14ac:dyDescent="0.25">
      <c r="A30" s="4" t="s">
        <v>82</v>
      </c>
      <c r="B30" s="30">
        <v>45332</v>
      </c>
      <c r="C30" s="4" t="s">
        <v>16</v>
      </c>
      <c r="D30" s="4" t="s">
        <v>11</v>
      </c>
      <c r="E30" s="4" t="s">
        <v>21</v>
      </c>
      <c r="F30" s="43">
        <v>3031</v>
      </c>
      <c r="G30" s="4">
        <v>8</v>
      </c>
      <c r="H30" s="4" t="s">
        <v>58</v>
      </c>
      <c r="I30" s="4" t="s">
        <v>42</v>
      </c>
    </row>
    <row r="31" spans="1:9" x14ac:dyDescent="0.25">
      <c r="A31" s="4" t="s">
        <v>71</v>
      </c>
      <c r="B31" s="30">
        <v>45323</v>
      </c>
      <c r="C31" s="4" t="s">
        <v>10</v>
      </c>
      <c r="D31" s="4" t="s">
        <v>11</v>
      </c>
      <c r="E31" s="4" t="s">
        <v>21</v>
      </c>
      <c r="F31" s="43">
        <v>1833</v>
      </c>
      <c r="G31" s="4">
        <v>9</v>
      </c>
      <c r="H31" s="4" t="s">
        <v>72</v>
      </c>
      <c r="I31" s="4" t="s">
        <v>23</v>
      </c>
    </row>
    <row r="32" spans="1:9" x14ac:dyDescent="0.25">
      <c r="A32" s="4" t="s">
        <v>57</v>
      </c>
      <c r="B32" s="30">
        <v>45313</v>
      </c>
      <c r="C32" s="4" t="s">
        <v>30</v>
      </c>
      <c r="D32" s="4" t="s">
        <v>26</v>
      </c>
      <c r="E32" s="4" t="s">
        <v>21</v>
      </c>
      <c r="F32" s="43">
        <v>3099</v>
      </c>
      <c r="G32" s="4">
        <v>7</v>
      </c>
      <c r="H32" s="4" t="s">
        <v>58</v>
      </c>
      <c r="I32" s="4" t="s">
        <v>14</v>
      </c>
    </row>
    <row r="33" spans="1:9" x14ac:dyDescent="0.25">
      <c r="A33" s="4" t="s">
        <v>27</v>
      </c>
      <c r="B33" s="30">
        <v>45296</v>
      </c>
      <c r="C33" s="4" t="s">
        <v>10</v>
      </c>
      <c r="D33" s="4" t="s">
        <v>11</v>
      </c>
      <c r="E33" s="4" t="s">
        <v>21</v>
      </c>
      <c r="F33" s="43">
        <v>4513</v>
      </c>
      <c r="G33" s="4">
        <v>3</v>
      </c>
      <c r="H33" s="4" t="s">
        <v>28</v>
      </c>
      <c r="I33" s="4" t="s">
        <v>14</v>
      </c>
    </row>
    <row r="34" spans="1:9" x14ac:dyDescent="0.25">
      <c r="A34" s="4" t="s">
        <v>70</v>
      </c>
      <c r="B34" s="30">
        <v>45322</v>
      </c>
      <c r="C34" s="4" t="s">
        <v>25</v>
      </c>
      <c r="D34" s="4" t="s">
        <v>26</v>
      </c>
      <c r="E34" s="4" t="s">
        <v>21</v>
      </c>
      <c r="F34" s="43">
        <v>2877</v>
      </c>
      <c r="G34" s="4">
        <v>9</v>
      </c>
      <c r="H34" s="4" t="s">
        <v>39</v>
      </c>
      <c r="I34" s="4" t="s">
        <v>42</v>
      </c>
    </row>
    <row r="35" spans="1:9" x14ac:dyDescent="0.25">
      <c r="A35" s="4" t="s">
        <v>20</v>
      </c>
      <c r="B35" s="30">
        <v>45294</v>
      </c>
      <c r="C35" s="4" t="s">
        <v>10</v>
      </c>
      <c r="D35" s="4" t="s">
        <v>11</v>
      </c>
      <c r="E35" s="4" t="s">
        <v>21</v>
      </c>
      <c r="F35" s="43">
        <v>809</v>
      </c>
      <c r="G35" s="4">
        <v>4</v>
      </c>
      <c r="H35" s="4" t="s">
        <v>22</v>
      </c>
      <c r="I35" s="4" t="s">
        <v>23</v>
      </c>
    </row>
    <row r="36" spans="1:9" x14ac:dyDescent="0.25">
      <c r="A36" s="4" t="s">
        <v>79</v>
      </c>
      <c r="B36" s="30">
        <v>45329</v>
      </c>
      <c r="C36" s="4" t="s">
        <v>16</v>
      </c>
      <c r="D36" s="4" t="s">
        <v>26</v>
      </c>
      <c r="E36" s="4" t="s">
        <v>21</v>
      </c>
      <c r="F36" s="43">
        <v>866</v>
      </c>
      <c r="G36" s="4">
        <v>6</v>
      </c>
      <c r="H36" s="4" t="s">
        <v>13</v>
      </c>
      <c r="I36" s="4" t="s">
        <v>14</v>
      </c>
    </row>
    <row r="37" spans="1:9" x14ac:dyDescent="0.25">
      <c r="A37" s="4" t="s">
        <v>73</v>
      </c>
      <c r="B37" s="30">
        <v>45324</v>
      </c>
      <c r="C37" s="4" t="s">
        <v>16</v>
      </c>
      <c r="D37" s="4" t="s">
        <v>11</v>
      </c>
      <c r="E37" s="4" t="s">
        <v>21</v>
      </c>
      <c r="F37" s="43">
        <v>3610</v>
      </c>
      <c r="G37" s="4">
        <v>3</v>
      </c>
      <c r="H37" s="4" t="s">
        <v>39</v>
      </c>
      <c r="I37" s="4" t="s">
        <v>14</v>
      </c>
    </row>
    <row r="38" spans="1:9" x14ac:dyDescent="0.25">
      <c r="A38" s="4" t="s">
        <v>50</v>
      </c>
      <c r="B38" s="30">
        <v>45308</v>
      </c>
      <c r="C38" s="4" t="s">
        <v>10</v>
      </c>
      <c r="D38" s="4" t="s">
        <v>11</v>
      </c>
      <c r="E38" s="4" t="s">
        <v>21</v>
      </c>
      <c r="F38" s="43">
        <v>1391</v>
      </c>
      <c r="G38" s="4">
        <v>9</v>
      </c>
      <c r="H38" s="4" t="s">
        <v>51</v>
      </c>
      <c r="I38" s="4" t="s">
        <v>19</v>
      </c>
    </row>
    <row r="39" spans="1:9" x14ac:dyDescent="0.25">
      <c r="A39" s="4" t="s">
        <v>29</v>
      </c>
      <c r="B39" s="30">
        <v>45297</v>
      </c>
      <c r="C39" s="4" t="s">
        <v>30</v>
      </c>
      <c r="D39" s="4" t="s">
        <v>26</v>
      </c>
      <c r="E39" s="4" t="s">
        <v>21</v>
      </c>
      <c r="F39" s="43">
        <v>2806</v>
      </c>
      <c r="G39" s="4">
        <v>3</v>
      </c>
      <c r="H39" s="4" t="s">
        <v>13</v>
      </c>
      <c r="I39" s="4" t="s">
        <v>19</v>
      </c>
    </row>
    <row r="40" spans="1:9" x14ac:dyDescent="0.25">
      <c r="A40" s="4" t="s">
        <v>64</v>
      </c>
      <c r="B40" s="30">
        <v>45317</v>
      </c>
      <c r="C40" s="4" t="s">
        <v>30</v>
      </c>
      <c r="D40" s="4" t="s">
        <v>11</v>
      </c>
      <c r="E40" s="4" t="s">
        <v>32</v>
      </c>
      <c r="F40" s="43">
        <v>4197</v>
      </c>
      <c r="G40" s="4">
        <v>2</v>
      </c>
      <c r="H40" s="4" t="s">
        <v>63</v>
      </c>
      <c r="I40" s="4" t="s">
        <v>42</v>
      </c>
    </row>
    <row r="41" spans="1:9" x14ac:dyDescent="0.25">
      <c r="A41" s="4" t="s">
        <v>77</v>
      </c>
      <c r="B41" s="30">
        <v>45327</v>
      </c>
      <c r="C41" s="4" t="s">
        <v>30</v>
      </c>
      <c r="D41" s="4" t="s">
        <v>11</v>
      </c>
      <c r="E41" s="4" t="s">
        <v>32</v>
      </c>
      <c r="F41" s="43">
        <v>4318</v>
      </c>
      <c r="G41" s="4">
        <v>4</v>
      </c>
      <c r="H41" s="4" t="s">
        <v>60</v>
      </c>
      <c r="I41" s="4" t="s">
        <v>19</v>
      </c>
    </row>
    <row r="42" spans="1:9" x14ac:dyDescent="0.25">
      <c r="A42" s="4" t="s">
        <v>56</v>
      </c>
      <c r="B42" s="30">
        <v>45312</v>
      </c>
      <c r="C42" s="4" t="s">
        <v>10</v>
      </c>
      <c r="D42" s="4" t="s">
        <v>11</v>
      </c>
      <c r="E42" s="4" t="s">
        <v>32</v>
      </c>
      <c r="F42" s="43">
        <v>3796</v>
      </c>
      <c r="G42" s="4">
        <v>3</v>
      </c>
      <c r="H42" s="4" t="s">
        <v>33</v>
      </c>
      <c r="I42" s="4" t="s">
        <v>42</v>
      </c>
    </row>
    <row r="43" spans="1:9" x14ac:dyDescent="0.25">
      <c r="A43" s="4" t="s">
        <v>76</v>
      </c>
      <c r="B43" s="30">
        <v>45326</v>
      </c>
      <c r="C43" s="4" t="s">
        <v>30</v>
      </c>
      <c r="D43" s="4" t="s">
        <v>26</v>
      </c>
      <c r="E43" s="4" t="s">
        <v>32</v>
      </c>
      <c r="F43" s="43">
        <v>3355</v>
      </c>
      <c r="G43" s="4">
        <v>3</v>
      </c>
      <c r="H43" s="4" t="s">
        <v>33</v>
      </c>
      <c r="I43" s="4" t="s">
        <v>23</v>
      </c>
    </row>
    <row r="44" spans="1:9" x14ac:dyDescent="0.25">
      <c r="A44" s="4" t="s">
        <v>80</v>
      </c>
      <c r="B44" s="30">
        <v>45330</v>
      </c>
      <c r="C44" s="4" t="s">
        <v>25</v>
      </c>
      <c r="D44" s="4" t="s">
        <v>11</v>
      </c>
      <c r="E44" s="4" t="s">
        <v>32</v>
      </c>
      <c r="F44" s="43">
        <v>4489</v>
      </c>
      <c r="G44" s="4">
        <v>8</v>
      </c>
      <c r="H44" s="4" t="s">
        <v>54</v>
      </c>
      <c r="I44" s="4" t="s">
        <v>19</v>
      </c>
    </row>
    <row r="45" spans="1:9" x14ac:dyDescent="0.25">
      <c r="A45" s="4" t="s">
        <v>59</v>
      </c>
      <c r="B45" s="30">
        <v>45314</v>
      </c>
      <c r="C45" s="4" t="s">
        <v>10</v>
      </c>
      <c r="D45" s="4" t="s">
        <v>26</v>
      </c>
      <c r="E45" s="4" t="s">
        <v>32</v>
      </c>
      <c r="F45" s="43">
        <v>3252</v>
      </c>
      <c r="G45" s="4">
        <v>9</v>
      </c>
      <c r="H45" s="4" t="s">
        <v>60</v>
      </c>
      <c r="I45" s="4" t="s">
        <v>19</v>
      </c>
    </row>
    <row r="46" spans="1:9" x14ac:dyDescent="0.25">
      <c r="A46" s="4" t="s">
        <v>31</v>
      </c>
      <c r="B46" s="30">
        <v>45298</v>
      </c>
      <c r="C46" s="4" t="s">
        <v>30</v>
      </c>
      <c r="D46" s="4" t="s">
        <v>11</v>
      </c>
      <c r="E46" s="4" t="s">
        <v>32</v>
      </c>
      <c r="F46" s="43">
        <v>4879</v>
      </c>
      <c r="G46" s="4">
        <v>4</v>
      </c>
      <c r="H46" s="4" t="s">
        <v>33</v>
      </c>
      <c r="I46" s="4" t="s">
        <v>23</v>
      </c>
    </row>
    <row r="47" spans="1:9" x14ac:dyDescent="0.25">
      <c r="A47" s="4" t="s">
        <v>90</v>
      </c>
      <c r="B47" s="30">
        <v>45340</v>
      </c>
      <c r="C47" s="4" t="s">
        <v>41</v>
      </c>
      <c r="D47" s="4" t="s">
        <v>11</v>
      </c>
      <c r="E47" s="4" t="s">
        <v>32</v>
      </c>
      <c r="F47" s="43">
        <v>3497</v>
      </c>
      <c r="G47" s="4">
        <v>3</v>
      </c>
      <c r="H47" s="4" t="s">
        <v>13</v>
      </c>
      <c r="I47" s="4" t="s">
        <v>14</v>
      </c>
    </row>
    <row r="48" spans="1:9" x14ac:dyDescent="0.25">
      <c r="A48" s="4" t="s">
        <v>68</v>
      </c>
      <c r="B48" s="30">
        <v>45320</v>
      </c>
      <c r="C48" s="4" t="s">
        <v>25</v>
      </c>
      <c r="D48" s="4" t="s">
        <v>11</v>
      </c>
      <c r="E48" s="4" t="s">
        <v>32</v>
      </c>
      <c r="F48" s="43">
        <v>3574</v>
      </c>
      <c r="G48" s="4">
        <v>5</v>
      </c>
      <c r="H48" s="4" t="s">
        <v>49</v>
      </c>
      <c r="I48" s="4" t="s">
        <v>42</v>
      </c>
    </row>
    <row r="49" spans="1:9" x14ac:dyDescent="0.25">
      <c r="A49" s="4" t="s">
        <v>61</v>
      </c>
      <c r="B49" s="30">
        <v>45315</v>
      </c>
      <c r="C49" s="4" t="s">
        <v>10</v>
      </c>
      <c r="D49" s="4" t="s">
        <v>26</v>
      </c>
      <c r="E49" s="4" t="s">
        <v>32</v>
      </c>
      <c r="F49" s="43">
        <v>798</v>
      </c>
      <c r="G49" s="4">
        <v>4</v>
      </c>
      <c r="H49" s="4" t="s">
        <v>22</v>
      </c>
      <c r="I49" s="4" t="s">
        <v>42</v>
      </c>
    </row>
    <row r="50" spans="1:9" x14ac:dyDescent="0.25">
      <c r="A50" s="4" t="s">
        <v>85</v>
      </c>
      <c r="B50" s="30">
        <v>45335</v>
      </c>
      <c r="C50" s="4" t="s">
        <v>16</v>
      </c>
      <c r="D50" s="4" t="s">
        <v>26</v>
      </c>
      <c r="E50" s="4" t="s">
        <v>32</v>
      </c>
      <c r="F50" s="43">
        <v>3682</v>
      </c>
      <c r="G50" s="4">
        <v>8</v>
      </c>
      <c r="H50" s="4" t="s">
        <v>13</v>
      </c>
      <c r="I50" s="4" t="s">
        <v>19</v>
      </c>
    </row>
    <row r="51" spans="1:9" x14ac:dyDescent="0.25">
      <c r="A51" s="4" t="s">
        <v>40</v>
      </c>
      <c r="B51" s="30">
        <v>45302</v>
      </c>
      <c r="C51" s="4" t="s">
        <v>41</v>
      </c>
      <c r="D51" s="4" t="s">
        <v>26</v>
      </c>
      <c r="E51" s="4" t="s">
        <v>17</v>
      </c>
      <c r="F51" s="43">
        <v>3843</v>
      </c>
      <c r="G51" s="4">
        <v>1</v>
      </c>
      <c r="H51" s="4" t="s">
        <v>37</v>
      </c>
      <c r="I51" s="4" t="s">
        <v>42</v>
      </c>
    </row>
  </sheetData>
  <mergeCells count="1">
    <mergeCell ref="L8:T8"/>
  </mergeCells>
  <conditionalFormatting sqref="F2:F51">
    <cfRule type="cellIs" dxfId="3" priority="2" operator="lessThan">
      <formula>2000</formula>
    </cfRule>
    <cfRule type="cellIs" dxfId="2" priority="3" operator="greaterThan">
      <formula>2000</formula>
    </cfRule>
  </conditionalFormatting>
  <conditionalFormatting sqref="G1:G51">
    <cfRule type="dataBar" priority="1">
      <dataBar>
        <cfvo type="num" val="0"/>
        <cfvo type="num" val="20"/>
        <color rgb="FF638EC6"/>
      </dataBar>
      <extLst>
        <ext xmlns:x14="http://schemas.microsoft.com/office/spreadsheetml/2009/9/main" uri="{B025F937-C7B1-47D3-B67F-A62EFF666E3E}">
          <x14:id>{AF8D9F5B-4CAD-4434-AD1D-4322E87DC70E}</x14:id>
        </ext>
      </extLst>
    </cfRule>
  </conditionalFormatting>
  <dataValidations count="2">
    <dataValidation type="list" allowBlank="1" showInputMessage="1" showErrorMessage="1" sqref="E2" xr:uid="{F8095165-3177-41B9-979D-DE6DDF1FAFDE}">
      <formula1>$L$2:$L$5</formula1>
    </dataValidation>
    <dataValidation type="list" allowBlank="1" showInputMessage="1" showErrorMessage="1" sqref="D2" xr:uid="{9F75C9AA-0220-4196-AC96-D0835A379F63}">
      <formula1>$M$2:$M$3</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F8D9F5B-4CAD-4434-AD1D-4322E87DC70E}">
            <x14:dataBar minLength="0" maxLength="100" border="1" negativeBarBorderColorSameAsPositive="0">
              <x14:cfvo type="num">
                <xm:f>0</xm:f>
              </x14:cfvo>
              <x14:cfvo type="num">
                <xm:f>20</xm:f>
              </x14:cfvo>
              <x14:borderColor rgb="FF638EC6"/>
              <x14:negativeFillColor rgb="FFFF0000"/>
              <x14:negativeBorderColor rgb="FFFF0000"/>
              <x14:axisColor rgb="FF000000"/>
            </x14:dataBar>
          </x14:cfRule>
          <xm:sqref>G1:G51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C349-4B19-41D0-81C7-713AE8492D49}">
  <dimension ref="A1:Q53"/>
  <sheetViews>
    <sheetView zoomScale="84" zoomScaleNormal="84" workbookViewId="0">
      <selection activeCell="L24" sqref="L24"/>
    </sheetView>
  </sheetViews>
  <sheetFormatPr defaultRowHeight="15" x14ac:dyDescent="0.25"/>
  <cols>
    <col min="1" max="1" width="10.7109375" style="4" customWidth="1"/>
    <col min="2" max="2" width="17.7109375" style="30" customWidth="1"/>
    <col min="3" max="3" width="18" style="4" customWidth="1"/>
    <col min="4" max="4" width="19" style="4" customWidth="1"/>
    <col min="5" max="5" width="9.42578125" style="4" customWidth="1"/>
    <col min="6" max="6" width="20.28515625" style="43" customWidth="1"/>
    <col min="7" max="7" width="14.7109375" style="4" customWidth="1"/>
    <col min="8" max="8" width="17.85546875" style="4" customWidth="1"/>
    <col min="9" max="9" width="23.7109375" style="4" customWidth="1"/>
    <col min="11" max="11" width="15.85546875" bestFit="1" customWidth="1"/>
    <col min="12" max="12" width="16.7109375" bestFit="1" customWidth="1"/>
    <col min="13" max="13" width="10.7109375" bestFit="1" customWidth="1"/>
    <col min="14" max="14" width="11.42578125" bestFit="1" customWidth="1"/>
    <col min="15" max="15" width="16.85546875" customWidth="1"/>
    <col min="16" max="16" width="13.42578125" bestFit="1" customWidth="1"/>
    <col min="17" max="17" width="20.28515625" bestFit="1" customWidth="1"/>
    <col min="18" max="20" width="8" bestFit="1" customWidth="1"/>
    <col min="21" max="21" width="11.28515625" bestFit="1" customWidth="1"/>
  </cols>
  <sheetData>
    <row r="1" spans="1:17" x14ac:dyDescent="0.25">
      <c r="A1" s="94" t="s">
        <v>0</v>
      </c>
      <c r="B1" s="95" t="s">
        <v>1</v>
      </c>
      <c r="C1" s="94" t="s">
        <v>2</v>
      </c>
      <c r="D1" s="94" t="s">
        <v>3</v>
      </c>
      <c r="E1" s="94" t="s">
        <v>4</v>
      </c>
      <c r="F1" s="96" t="s">
        <v>5</v>
      </c>
      <c r="G1" s="94" t="s">
        <v>6</v>
      </c>
      <c r="H1" s="94" t="s">
        <v>7</v>
      </c>
      <c r="I1" s="97" t="s">
        <v>8</v>
      </c>
      <c r="J1" s="21"/>
    </row>
    <row r="2" spans="1:17" x14ac:dyDescent="0.25">
      <c r="A2" s="22" t="s">
        <v>48</v>
      </c>
      <c r="B2" s="23">
        <v>45307</v>
      </c>
      <c r="C2" s="24" t="s">
        <v>10</v>
      </c>
      <c r="D2" s="24" t="s">
        <v>11</v>
      </c>
      <c r="E2" s="24" t="s">
        <v>17</v>
      </c>
      <c r="F2" s="25">
        <v>4759</v>
      </c>
      <c r="G2" s="24">
        <v>1</v>
      </c>
      <c r="H2" s="24" t="s">
        <v>49</v>
      </c>
      <c r="I2" s="60" t="s">
        <v>42</v>
      </c>
      <c r="J2" s="4"/>
      <c r="K2" t="s">
        <v>103</v>
      </c>
      <c r="L2" s="4" t="s">
        <v>3</v>
      </c>
      <c r="P2" t="s">
        <v>132</v>
      </c>
      <c r="Q2" t="s" vm="1">
        <v>144</v>
      </c>
    </row>
    <row r="3" spans="1:17" x14ac:dyDescent="0.25">
      <c r="A3" s="29" t="s">
        <v>87</v>
      </c>
      <c r="B3" s="30">
        <v>45337</v>
      </c>
      <c r="C3" s="4" t="s">
        <v>41</v>
      </c>
      <c r="D3" s="4" t="s">
        <v>26</v>
      </c>
      <c r="E3" s="4" t="s">
        <v>17</v>
      </c>
      <c r="F3" s="31">
        <v>3372</v>
      </c>
      <c r="G3" s="4">
        <v>6</v>
      </c>
      <c r="H3" s="4" t="s">
        <v>75</v>
      </c>
      <c r="I3" s="61" t="s">
        <v>23</v>
      </c>
      <c r="J3" s="4"/>
      <c r="K3" t="s">
        <v>8</v>
      </c>
      <c r="L3" t="s">
        <v>26</v>
      </c>
      <c r="M3" t="s">
        <v>11</v>
      </c>
      <c r="N3" t="s">
        <v>97</v>
      </c>
    </row>
    <row r="4" spans="1:17" x14ac:dyDescent="0.25">
      <c r="A4" s="29" t="s">
        <v>45</v>
      </c>
      <c r="B4" s="30">
        <v>45305</v>
      </c>
      <c r="C4" s="4" t="s">
        <v>10</v>
      </c>
      <c r="D4" s="4" t="s">
        <v>11</v>
      </c>
      <c r="E4" s="4" t="s">
        <v>17</v>
      </c>
      <c r="F4" s="31">
        <v>3863</v>
      </c>
      <c r="G4" s="4">
        <v>2</v>
      </c>
      <c r="H4" s="4" t="s">
        <v>33</v>
      </c>
      <c r="I4" s="61" t="s">
        <v>19</v>
      </c>
      <c r="J4" s="4"/>
      <c r="K4" s="9" t="s">
        <v>42</v>
      </c>
      <c r="L4">
        <v>44</v>
      </c>
      <c r="M4">
        <v>35</v>
      </c>
      <c r="N4">
        <v>79</v>
      </c>
      <c r="P4" t="s">
        <v>2</v>
      </c>
      <c r="Q4" t="s">
        <v>98</v>
      </c>
    </row>
    <row r="5" spans="1:17" x14ac:dyDescent="0.25">
      <c r="A5" s="29" t="s">
        <v>86</v>
      </c>
      <c r="B5" s="30">
        <v>45336</v>
      </c>
      <c r="C5" s="4" t="s">
        <v>30</v>
      </c>
      <c r="D5" s="4" t="s">
        <v>26</v>
      </c>
      <c r="E5" s="4" t="s">
        <v>17</v>
      </c>
      <c r="F5" s="31">
        <v>708</v>
      </c>
      <c r="G5" s="4">
        <v>4</v>
      </c>
      <c r="H5" s="4" t="s">
        <v>35</v>
      </c>
      <c r="I5" s="61" t="s">
        <v>42</v>
      </c>
      <c r="J5" s="4"/>
      <c r="K5" s="9" t="s">
        <v>23</v>
      </c>
      <c r="L5">
        <v>20</v>
      </c>
      <c r="M5">
        <v>25</v>
      </c>
      <c r="N5">
        <v>45</v>
      </c>
      <c r="P5" s="9" t="s">
        <v>41</v>
      </c>
      <c r="Q5" s="62">
        <v>14570</v>
      </c>
    </row>
    <row r="6" spans="1:17" x14ac:dyDescent="0.25">
      <c r="A6" s="29" t="s">
        <v>83</v>
      </c>
      <c r="B6" s="30">
        <v>45333</v>
      </c>
      <c r="C6" s="4" t="s">
        <v>16</v>
      </c>
      <c r="D6" s="4" t="s">
        <v>11</v>
      </c>
      <c r="E6" s="4" t="s">
        <v>17</v>
      </c>
      <c r="F6" s="31">
        <v>297</v>
      </c>
      <c r="G6" s="4">
        <v>4</v>
      </c>
      <c r="H6" s="4" t="s">
        <v>22</v>
      </c>
      <c r="I6" s="61" t="s">
        <v>19</v>
      </c>
      <c r="J6" s="4"/>
      <c r="K6" s="9" t="s">
        <v>19</v>
      </c>
      <c r="L6">
        <v>20</v>
      </c>
      <c r="M6">
        <v>42</v>
      </c>
      <c r="N6">
        <v>62</v>
      </c>
      <c r="P6" s="9" t="s">
        <v>16</v>
      </c>
      <c r="Q6" s="62">
        <v>25712</v>
      </c>
    </row>
    <row r="7" spans="1:17" x14ac:dyDescent="0.25">
      <c r="A7" s="29" t="s">
        <v>34</v>
      </c>
      <c r="B7" s="30">
        <v>45299</v>
      </c>
      <c r="C7" s="4" t="s">
        <v>30</v>
      </c>
      <c r="D7" s="4" t="s">
        <v>26</v>
      </c>
      <c r="E7" s="4" t="s">
        <v>17</v>
      </c>
      <c r="F7" s="31">
        <v>763</v>
      </c>
      <c r="G7" s="4">
        <v>7</v>
      </c>
      <c r="H7" s="4" t="s">
        <v>35</v>
      </c>
      <c r="I7" s="61" t="s">
        <v>14</v>
      </c>
      <c r="J7" s="4"/>
      <c r="K7" s="9" t="s">
        <v>14</v>
      </c>
      <c r="L7">
        <v>29</v>
      </c>
      <c r="M7">
        <v>36</v>
      </c>
      <c r="N7">
        <v>65</v>
      </c>
      <c r="P7" s="9" t="s">
        <v>10</v>
      </c>
      <c r="Q7" s="62">
        <v>31332</v>
      </c>
    </row>
    <row r="8" spans="1:17" x14ac:dyDescent="0.25">
      <c r="A8" s="29" t="s">
        <v>67</v>
      </c>
      <c r="B8" s="30">
        <v>45319</v>
      </c>
      <c r="C8" s="4" t="s">
        <v>25</v>
      </c>
      <c r="D8" s="4" t="s">
        <v>11</v>
      </c>
      <c r="E8" s="4" t="s">
        <v>17</v>
      </c>
      <c r="F8" s="31">
        <v>954</v>
      </c>
      <c r="G8" s="4">
        <v>5</v>
      </c>
      <c r="H8" s="4" t="s">
        <v>60</v>
      </c>
      <c r="I8" s="61" t="s">
        <v>19</v>
      </c>
      <c r="J8" s="4"/>
      <c r="K8" s="9" t="s">
        <v>97</v>
      </c>
      <c r="L8">
        <v>113</v>
      </c>
      <c r="M8">
        <v>138</v>
      </c>
      <c r="N8">
        <v>251</v>
      </c>
      <c r="P8" s="9" t="s">
        <v>30</v>
      </c>
      <c r="Q8" s="62">
        <v>37823</v>
      </c>
    </row>
    <row r="9" spans="1:17" x14ac:dyDescent="0.25">
      <c r="A9" s="29" t="s">
        <v>62</v>
      </c>
      <c r="B9" s="30">
        <v>45316</v>
      </c>
      <c r="C9" s="4" t="s">
        <v>30</v>
      </c>
      <c r="D9" s="4" t="s">
        <v>11</v>
      </c>
      <c r="E9" s="4" t="s">
        <v>17</v>
      </c>
      <c r="F9" s="31">
        <v>2260</v>
      </c>
      <c r="G9" s="4">
        <v>1</v>
      </c>
      <c r="H9" s="4" t="s">
        <v>63</v>
      </c>
      <c r="I9" s="61" t="s">
        <v>19</v>
      </c>
      <c r="J9" s="4"/>
      <c r="P9" s="9" t="s">
        <v>25</v>
      </c>
      <c r="Q9" s="62">
        <v>30863</v>
      </c>
    </row>
    <row r="10" spans="1:17" x14ac:dyDescent="0.25">
      <c r="A10" s="29" t="s">
        <v>91</v>
      </c>
      <c r="B10" s="30">
        <v>45341</v>
      </c>
      <c r="C10" s="4" t="s">
        <v>41</v>
      </c>
      <c r="D10" s="4" t="s">
        <v>26</v>
      </c>
      <c r="E10" s="4" t="s">
        <v>17</v>
      </c>
      <c r="F10" s="31">
        <v>2611</v>
      </c>
      <c r="G10" s="4">
        <v>9</v>
      </c>
      <c r="H10" s="4" t="s">
        <v>39</v>
      </c>
      <c r="I10" s="61" t="s">
        <v>42</v>
      </c>
      <c r="J10" s="4"/>
      <c r="P10" s="9" t="s">
        <v>97</v>
      </c>
      <c r="Q10" s="62">
        <v>140300</v>
      </c>
    </row>
    <row r="11" spans="1:17" x14ac:dyDescent="0.25">
      <c r="A11" s="29" t="s">
        <v>15</v>
      </c>
      <c r="B11" s="30">
        <v>45293</v>
      </c>
      <c r="C11" s="4" t="s">
        <v>16</v>
      </c>
      <c r="D11" s="4" t="s">
        <v>11</v>
      </c>
      <c r="E11" s="4" t="s">
        <v>17</v>
      </c>
      <c r="F11" s="31">
        <v>1382</v>
      </c>
      <c r="G11" s="4">
        <v>4</v>
      </c>
      <c r="H11" s="4" t="s">
        <v>18</v>
      </c>
      <c r="I11" s="61" t="s">
        <v>19</v>
      </c>
      <c r="J11" s="4"/>
    </row>
    <row r="12" spans="1:17" x14ac:dyDescent="0.25">
      <c r="A12" s="29" t="s">
        <v>88</v>
      </c>
      <c r="B12" s="30">
        <v>45338</v>
      </c>
      <c r="C12" s="4" t="s">
        <v>41</v>
      </c>
      <c r="D12" s="4" t="s">
        <v>11</v>
      </c>
      <c r="E12" s="4" t="s">
        <v>17</v>
      </c>
      <c r="F12" s="31">
        <v>1247</v>
      </c>
      <c r="G12" s="4">
        <v>8</v>
      </c>
      <c r="H12" s="4" t="s">
        <v>54</v>
      </c>
      <c r="I12" s="61" t="s">
        <v>14</v>
      </c>
      <c r="J12" s="4"/>
    </row>
    <row r="13" spans="1:17" x14ac:dyDescent="0.25">
      <c r="A13" s="29" t="s">
        <v>65</v>
      </c>
      <c r="B13" s="30">
        <v>45318</v>
      </c>
      <c r="C13" s="4" t="s">
        <v>16</v>
      </c>
      <c r="D13" s="4" t="s">
        <v>11</v>
      </c>
      <c r="E13" s="4" t="s">
        <v>17</v>
      </c>
      <c r="F13" s="31">
        <v>4837</v>
      </c>
      <c r="G13" s="4">
        <v>1</v>
      </c>
      <c r="H13" s="4" t="s">
        <v>66</v>
      </c>
      <c r="I13" s="61" t="s">
        <v>19</v>
      </c>
      <c r="J13" s="4"/>
      <c r="P13" s="63"/>
    </row>
    <row r="14" spans="1:17" x14ac:dyDescent="0.25">
      <c r="A14" s="29" t="s">
        <v>24</v>
      </c>
      <c r="B14" s="30">
        <v>45295</v>
      </c>
      <c r="C14" s="4" t="s">
        <v>25</v>
      </c>
      <c r="D14" s="4" t="s">
        <v>26</v>
      </c>
      <c r="E14" s="4" t="s">
        <v>17</v>
      </c>
      <c r="F14" s="31">
        <v>4844</v>
      </c>
      <c r="G14" s="4">
        <v>3</v>
      </c>
      <c r="H14" s="4" t="s">
        <v>18</v>
      </c>
      <c r="I14" s="61" t="s">
        <v>23</v>
      </c>
      <c r="J14" s="4"/>
      <c r="K14" s="102" t="s">
        <v>145</v>
      </c>
      <c r="L14" s="102"/>
      <c r="M14" s="102"/>
      <c r="N14" s="102"/>
      <c r="O14" s="102"/>
    </row>
    <row r="15" spans="1:17" x14ac:dyDescent="0.25">
      <c r="A15" s="29" t="s">
        <v>43</v>
      </c>
      <c r="B15" s="30">
        <v>45303</v>
      </c>
      <c r="C15" s="4" t="s">
        <v>16</v>
      </c>
      <c r="D15" s="4" t="s">
        <v>26</v>
      </c>
      <c r="E15" s="4" t="s">
        <v>12</v>
      </c>
      <c r="F15" s="31">
        <v>1595</v>
      </c>
      <c r="G15" s="4">
        <v>8</v>
      </c>
      <c r="H15" s="4" t="s">
        <v>39</v>
      </c>
      <c r="I15" s="61" t="s">
        <v>23</v>
      </c>
      <c r="J15" s="4"/>
      <c r="K15" s="64" t="s">
        <v>0</v>
      </c>
      <c r="L15" s="65"/>
      <c r="M15" s="65" t="s">
        <v>146</v>
      </c>
      <c r="N15" s="65"/>
      <c r="O15" s="66" t="s">
        <v>147</v>
      </c>
    </row>
    <row r="16" spans="1:17" x14ac:dyDescent="0.25">
      <c r="A16" s="29" t="s">
        <v>9</v>
      </c>
      <c r="B16" s="30">
        <v>45292</v>
      </c>
      <c r="C16" s="4" t="s">
        <v>10</v>
      </c>
      <c r="D16" s="4" t="s">
        <v>11</v>
      </c>
      <c r="E16" s="4" t="s">
        <v>12</v>
      </c>
      <c r="F16" s="31">
        <v>2775</v>
      </c>
      <c r="G16" s="4">
        <v>3</v>
      </c>
      <c r="H16" s="4" t="s">
        <v>13</v>
      </c>
      <c r="I16" s="61" t="s">
        <v>14</v>
      </c>
      <c r="J16" s="4"/>
      <c r="K16" s="67" t="s">
        <v>27</v>
      </c>
      <c r="M16" t="str">
        <f>VLOOKUP(K16,$A$1:$I$51,3)</f>
        <v>Monitor</v>
      </c>
      <c r="O16" s="68" t="str">
        <f>INDEX(Lookups!$C$2:$C$51, MATCH(K16, Lookups!$A$2:$A$51, 0))</f>
        <v>Monitor</v>
      </c>
    </row>
    <row r="17" spans="1:15" x14ac:dyDescent="0.25">
      <c r="A17" s="29" t="s">
        <v>89</v>
      </c>
      <c r="B17" s="30">
        <v>45339</v>
      </c>
      <c r="C17" s="4" t="s">
        <v>16</v>
      </c>
      <c r="D17" s="4" t="s">
        <v>11</v>
      </c>
      <c r="E17" s="4" t="s">
        <v>12</v>
      </c>
      <c r="F17" s="31">
        <v>4382</v>
      </c>
      <c r="G17" s="4">
        <v>4</v>
      </c>
      <c r="H17" s="4" t="s">
        <v>22</v>
      </c>
      <c r="I17" s="61" t="s">
        <v>23</v>
      </c>
      <c r="J17" s="4"/>
      <c r="K17" s="33" t="s">
        <v>88</v>
      </c>
      <c r="M17" t="str">
        <f>VLOOKUP(K17,$A$1:$I$51,3)</f>
        <v>Keyboard</v>
      </c>
      <c r="O17" s="68" t="str">
        <f>INDEX(Lookups!$C$2:$C$51, MATCH(K17, Lookups!$A$2:$A$51, 0))</f>
        <v>Keyboard</v>
      </c>
    </row>
    <row r="18" spans="1:15" x14ac:dyDescent="0.25">
      <c r="A18" s="29" t="s">
        <v>55</v>
      </c>
      <c r="B18" s="30">
        <v>45311</v>
      </c>
      <c r="C18" s="4" t="s">
        <v>10</v>
      </c>
      <c r="D18" s="4" t="s">
        <v>11</v>
      </c>
      <c r="E18" s="4" t="s">
        <v>12</v>
      </c>
      <c r="F18" s="31">
        <v>1736</v>
      </c>
      <c r="G18" s="4">
        <v>7</v>
      </c>
      <c r="H18" s="4" t="s">
        <v>39</v>
      </c>
      <c r="I18" s="61" t="s">
        <v>14</v>
      </c>
      <c r="J18" s="4"/>
      <c r="K18" s="69" t="s">
        <v>65</v>
      </c>
      <c r="L18" s="70"/>
      <c r="M18" s="70" t="str">
        <f>VLOOKUP(K18,$A$1:$I$51,3)</f>
        <v>Laptop</v>
      </c>
      <c r="N18" s="70"/>
      <c r="O18" s="71" t="str">
        <f>INDEX(Lookups!$C$2:$C$51, MATCH(K18, Lookups!$A$2:$A$51, 0))</f>
        <v>Laptop</v>
      </c>
    </row>
    <row r="19" spans="1:15" x14ac:dyDescent="0.25">
      <c r="A19" s="29" t="s">
        <v>84</v>
      </c>
      <c r="B19" s="30">
        <v>45334</v>
      </c>
      <c r="C19" s="4" t="s">
        <v>16</v>
      </c>
      <c r="D19" s="4" t="s">
        <v>11</v>
      </c>
      <c r="E19" s="4" t="s">
        <v>12</v>
      </c>
      <c r="F19" s="31">
        <v>2030</v>
      </c>
      <c r="G19" s="4">
        <v>1</v>
      </c>
      <c r="H19" s="4" t="s">
        <v>63</v>
      </c>
      <c r="I19" s="61" t="s">
        <v>42</v>
      </c>
      <c r="J19" s="4"/>
    </row>
    <row r="20" spans="1:15" x14ac:dyDescent="0.25">
      <c r="A20" s="29" t="s">
        <v>38</v>
      </c>
      <c r="B20" s="30">
        <v>45301</v>
      </c>
      <c r="C20" s="4" t="s">
        <v>25</v>
      </c>
      <c r="D20" s="4" t="s">
        <v>11</v>
      </c>
      <c r="E20" s="4" t="s">
        <v>12</v>
      </c>
      <c r="F20" s="31">
        <v>3545</v>
      </c>
      <c r="G20" s="4">
        <v>9</v>
      </c>
      <c r="H20" s="4" t="s">
        <v>39</v>
      </c>
      <c r="I20" s="61" t="s">
        <v>14</v>
      </c>
      <c r="J20" s="4"/>
    </row>
    <row r="21" spans="1:15" x14ac:dyDescent="0.25">
      <c r="A21" s="29" t="s">
        <v>36</v>
      </c>
      <c r="B21" s="30">
        <v>45300</v>
      </c>
      <c r="C21" s="4" t="s">
        <v>30</v>
      </c>
      <c r="D21" s="4" t="s">
        <v>11</v>
      </c>
      <c r="E21" s="4" t="s">
        <v>12</v>
      </c>
      <c r="F21" s="31">
        <v>2098</v>
      </c>
      <c r="G21" s="4">
        <v>4</v>
      </c>
      <c r="H21" s="4" t="s">
        <v>37</v>
      </c>
      <c r="I21" s="61" t="s">
        <v>19</v>
      </c>
      <c r="J21" s="4"/>
    </row>
    <row r="22" spans="1:15" x14ac:dyDescent="0.25">
      <c r="A22" s="29" t="s">
        <v>44</v>
      </c>
      <c r="B22" s="30">
        <v>45304</v>
      </c>
      <c r="C22" s="4" t="s">
        <v>30</v>
      </c>
      <c r="D22" s="4" t="s">
        <v>26</v>
      </c>
      <c r="E22" s="4" t="s">
        <v>12</v>
      </c>
      <c r="F22" s="31">
        <v>3404</v>
      </c>
      <c r="G22" s="4">
        <v>7</v>
      </c>
      <c r="H22" s="4" t="s">
        <v>22</v>
      </c>
      <c r="I22" s="61" t="s">
        <v>42</v>
      </c>
      <c r="J22" s="4"/>
    </row>
    <row r="23" spans="1:15" x14ac:dyDescent="0.25">
      <c r="A23" s="29" t="s">
        <v>81</v>
      </c>
      <c r="B23" s="30">
        <v>45331</v>
      </c>
      <c r="C23" s="4" t="s">
        <v>25</v>
      </c>
      <c r="D23" s="4" t="s">
        <v>11</v>
      </c>
      <c r="E23" s="4" t="s">
        <v>12</v>
      </c>
      <c r="F23" s="31">
        <v>2427</v>
      </c>
      <c r="G23" s="4">
        <v>1</v>
      </c>
      <c r="H23" s="4" t="s">
        <v>54</v>
      </c>
      <c r="I23" s="61" t="s">
        <v>23</v>
      </c>
      <c r="J23" s="4"/>
    </row>
    <row r="24" spans="1:15" x14ac:dyDescent="0.25">
      <c r="A24" s="29" t="s">
        <v>78</v>
      </c>
      <c r="B24" s="30">
        <v>45328</v>
      </c>
      <c r="C24" s="4" t="s">
        <v>25</v>
      </c>
      <c r="D24" s="4" t="s">
        <v>11</v>
      </c>
      <c r="E24" s="4" t="s">
        <v>12</v>
      </c>
      <c r="F24" s="31">
        <v>4596</v>
      </c>
      <c r="G24" s="4">
        <v>8</v>
      </c>
      <c r="H24" s="4" t="s">
        <v>37</v>
      </c>
      <c r="I24" s="61" t="s">
        <v>42</v>
      </c>
      <c r="J24" s="4"/>
    </row>
    <row r="25" spans="1:15" x14ac:dyDescent="0.25">
      <c r="A25" s="29" t="s">
        <v>52</v>
      </c>
      <c r="B25" s="30">
        <v>45309</v>
      </c>
      <c r="C25" s="4" t="s">
        <v>30</v>
      </c>
      <c r="D25" s="4" t="s">
        <v>26</v>
      </c>
      <c r="E25" s="4" t="s">
        <v>12</v>
      </c>
      <c r="F25" s="31">
        <v>3681</v>
      </c>
      <c r="G25" s="4">
        <v>9</v>
      </c>
      <c r="H25" s="4" t="s">
        <v>13</v>
      </c>
      <c r="I25" s="61" t="s">
        <v>14</v>
      </c>
      <c r="J25" s="4"/>
    </row>
    <row r="26" spans="1:15" x14ac:dyDescent="0.25">
      <c r="A26" s="29" t="s">
        <v>53</v>
      </c>
      <c r="B26" s="30">
        <v>45310</v>
      </c>
      <c r="C26" s="4" t="s">
        <v>25</v>
      </c>
      <c r="D26" s="4" t="s">
        <v>26</v>
      </c>
      <c r="E26" s="4" t="s">
        <v>12</v>
      </c>
      <c r="F26" s="31">
        <v>3557</v>
      </c>
      <c r="G26" s="4">
        <v>2</v>
      </c>
      <c r="H26" s="4" t="s">
        <v>54</v>
      </c>
      <c r="I26" s="61" t="s">
        <v>42</v>
      </c>
      <c r="J26" s="4"/>
    </row>
    <row r="27" spans="1:15" x14ac:dyDescent="0.25">
      <c r="A27" s="29" t="s">
        <v>74</v>
      </c>
      <c r="B27" s="30">
        <v>45325</v>
      </c>
      <c r="C27" s="4" t="s">
        <v>30</v>
      </c>
      <c r="D27" s="4" t="s">
        <v>11</v>
      </c>
      <c r="E27" s="4" t="s">
        <v>21</v>
      </c>
      <c r="F27" s="31">
        <v>302</v>
      </c>
      <c r="G27" s="4">
        <v>3</v>
      </c>
      <c r="H27" s="4" t="s">
        <v>75</v>
      </c>
      <c r="I27" s="61" t="s">
        <v>23</v>
      </c>
      <c r="J27" s="4"/>
    </row>
    <row r="28" spans="1:15" x14ac:dyDescent="0.25">
      <c r="A28" s="29" t="s">
        <v>46</v>
      </c>
      <c r="B28" s="30">
        <v>45306</v>
      </c>
      <c r="C28" s="4" t="s">
        <v>30</v>
      </c>
      <c r="D28" s="4" t="s">
        <v>26</v>
      </c>
      <c r="E28" s="4" t="s">
        <v>21</v>
      </c>
      <c r="F28" s="31">
        <v>1953</v>
      </c>
      <c r="G28" s="4">
        <v>8</v>
      </c>
      <c r="H28" s="4" t="s">
        <v>47</v>
      </c>
      <c r="I28" s="61" t="s">
        <v>42</v>
      </c>
      <c r="J28" s="4"/>
    </row>
    <row r="29" spans="1:15" x14ac:dyDescent="0.25">
      <c r="A29" s="29" t="s">
        <v>69</v>
      </c>
      <c r="B29" s="30">
        <v>45321</v>
      </c>
      <c r="C29" s="4" t="s">
        <v>10</v>
      </c>
      <c r="D29" s="4" t="s">
        <v>11</v>
      </c>
      <c r="E29" s="4" t="s">
        <v>21</v>
      </c>
      <c r="F29" s="31">
        <v>1807</v>
      </c>
      <c r="G29" s="4">
        <v>7</v>
      </c>
      <c r="H29" s="4" t="s">
        <v>28</v>
      </c>
      <c r="I29" s="61" t="s">
        <v>42</v>
      </c>
      <c r="J29" s="4"/>
    </row>
    <row r="30" spans="1:15" x14ac:dyDescent="0.25">
      <c r="A30" s="29" t="s">
        <v>82</v>
      </c>
      <c r="B30" s="30">
        <v>45332</v>
      </c>
      <c r="C30" s="4" t="s">
        <v>16</v>
      </c>
      <c r="D30" s="4" t="s">
        <v>11</v>
      </c>
      <c r="E30" s="4" t="s">
        <v>21</v>
      </c>
      <c r="F30" s="31">
        <v>3031</v>
      </c>
      <c r="G30" s="4">
        <v>8</v>
      </c>
      <c r="H30" s="4" t="s">
        <v>58</v>
      </c>
      <c r="I30" s="61" t="s">
        <v>42</v>
      </c>
      <c r="J30" s="4"/>
    </row>
    <row r="31" spans="1:15" x14ac:dyDescent="0.25">
      <c r="A31" s="29" t="s">
        <v>71</v>
      </c>
      <c r="B31" s="30">
        <v>45323</v>
      </c>
      <c r="C31" s="4" t="s">
        <v>10</v>
      </c>
      <c r="D31" s="4" t="s">
        <v>11</v>
      </c>
      <c r="E31" s="4" t="s">
        <v>21</v>
      </c>
      <c r="F31" s="31">
        <v>1833</v>
      </c>
      <c r="G31" s="4">
        <v>9</v>
      </c>
      <c r="H31" s="4" t="s">
        <v>72</v>
      </c>
      <c r="I31" s="61" t="s">
        <v>23</v>
      </c>
      <c r="J31" s="4"/>
    </row>
    <row r="32" spans="1:15" x14ac:dyDescent="0.25">
      <c r="A32" s="29" t="s">
        <v>57</v>
      </c>
      <c r="B32" s="30">
        <v>45313</v>
      </c>
      <c r="C32" s="4" t="s">
        <v>30</v>
      </c>
      <c r="D32" s="4" t="s">
        <v>26</v>
      </c>
      <c r="E32" s="4" t="s">
        <v>21</v>
      </c>
      <c r="F32" s="31">
        <v>3099</v>
      </c>
      <c r="G32" s="4">
        <v>7</v>
      </c>
      <c r="H32" s="4" t="s">
        <v>58</v>
      </c>
      <c r="I32" s="61" t="s">
        <v>14</v>
      </c>
      <c r="J32" s="4"/>
    </row>
    <row r="33" spans="1:10" x14ac:dyDescent="0.25">
      <c r="A33" s="29" t="s">
        <v>27</v>
      </c>
      <c r="B33" s="30">
        <v>45296</v>
      </c>
      <c r="C33" s="4" t="s">
        <v>10</v>
      </c>
      <c r="D33" s="4" t="s">
        <v>11</v>
      </c>
      <c r="E33" s="4" t="s">
        <v>21</v>
      </c>
      <c r="F33" s="31">
        <v>4513</v>
      </c>
      <c r="G33" s="4">
        <v>3</v>
      </c>
      <c r="H33" s="4" t="s">
        <v>28</v>
      </c>
      <c r="I33" s="61" t="s">
        <v>14</v>
      </c>
      <c r="J33" s="4"/>
    </row>
    <row r="34" spans="1:10" x14ac:dyDescent="0.25">
      <c r="A34" s="29" t="s">
        <v>70</v>
      </c>
      <c r="B34" s="30">
        <v>45322</v>
      </c>
      <c r="C34" s="4" t="s">
        <v>25</v>
      </c>
      <c r="D34" s="4" t="s">
        <v>26</v>
      </c>
      <c r="E34" s="4" t="s">
        <v>21</v>
      </c>
      <c r="F34" s="31">
        <v>2877</v>
      </c>
      <c r="G34" s="4">
        <v>9</v>
      </c>
      <c r="H34" s="4" t="s">
        <v>39</v>
      </c>
      <c r="I34" s="61" t="s">
        <v>42</v>
      </c>
      <c r="J34" s="4"/>
    </row>
    <row r="35" spans="1:10" x14ac:dyDescent="0.25">
      <c r="A35" s="29" t="s">
        <v>20</v>
      </c>
      <c r="B35" s="30">
        <v>45294</v>
      </c>
      <c r="C35" s="4" t="s">
        <v>10</v>
      </c>
      <c r="D35" s="4" t="s">
        <v>11</v>
      </c>
      <c r="E35" s="4" t="s">
        <v>21</v>
      </c>
      <c r="F35" s="31">
        <v>809</v>
      </c>
      <c r="G35" s="4">
        <v>4</v>
      </c>
      <c r="H35" s="4" t="s">
        <v>22</v>
      </c>
      <c r="I35" s="61" t="s">
        <v>23</v>
      </c>
      <c r="J35" s="4"/>
    </row>
    <row r="36" spans="1:10" x14ac:dyDescent="0.25">
      <c r="A36" s="29" t="s">
        <v>79</v>
      </c>
      <c r="B36" s="30">
        <v>45329</v>
      </c>
      <c r="C36" s="4" t="s">
        <v>16</v>
      </c>
      <c r="D36" s="4" t="s">
        <v>26</v>
      </c>
      <c r="E36" s="4" t="s">
        <v>21</v>
      </c>
      <c r="F36" s="31">
        <v>866</v>
      </c>
      <c r="G36" s="4">
        <v>6</v>
      </c>
      <c r="H36" s="4" t="s">
        <v>13</v>
      </c>
      <c r="I36" s="61" t="s">
        <v>14</v>
      </c>
      <c r="J36" s="4"/>
    </row>
    <row r="37" spans="1:10" x14ac:dyDescent="0.25">
      <c r="A37" s="29" t="s">
        <v>73</v>
      </c>
      <c r="B37" s="30">
        <v>45324</v>
      </c>
      <c r="C37" s="4" t="s">
        <v>16</v>
      </c>
      <c r="D37" s="4" t="s">
        <v>11</v>
      </c>
      <c r="E37" s="4" t="s">
        <v>21</v>
      </c>
      <c r="F37" s="31">
        <v>3610</v>
      </c>
      <c r="G37" s="4">
        <v>3</v>
      </c>
      <c r="H37" s="4" t="s">
        <v>39</v>
      </c>
      <c r="I37" s="61" t="s">
        <v>14</v>
      </c>
      <c r="J37" s="4"/>
    </row>
    <row r="38" spans="1:10" x14ac:dyDescent="0.25">
      <c r="A38" s="29" t="s">
        <v>50</v>
      </c>
      <c r="B38" s="30">
        <v>45308</v>
      </c>
      <c r="C38" s="4" t="s">
        <v>10</v>
      </c>
      <c r="D38" s="4" t="s">
        <v>11</v>
      </c>
      <c r="E38" s="4" t="s">
        <v>21</v>
      </c>
      <c r="F38" s="31">
        <v>1391</v>
      </c>
      <c r="G38" s="4">
        <v>9</v>
      </c>
      <c r="H38" s="4" t="s">
        <v>51</v>
      </c>
      <c r="I38" s="61" t="s">
        <v>19</v>
      </c>
      <c r="J38" s="4"/>
    </row>
    <row r="39" spans="1:10" x14ac:dyDescent="0.25">
      <c r="A39" s="29" t="s">
        <v>29</v>
      </c>
      <c r="B39" s="30">
        <v>45297</v>
      </c>
      <c r="C39" s="4" t="s">
        <v>30</v>
      </c>
      <c r="D39" s="4" t="s">
        <v>26</v>
      </c>
      <c r="E39" s="4" t="s">
        <v>21</v>
      </c>
      <c r="F39" s="31">
        <v>2806</v>
      </c>
      <c r="G39" s="4">
        <v>3</v>
      </c>
      <c r="H39" s="4" t="s">
        <v>13</v>
      </c>
      <c r="I39" s="61" t="s">
        <v>19</v>
      </c>
      <c r="J39" s="4"/>
    </row>
    <row r="40" spans="1:10" x14ac:dyDescent="0.25">
      <c r="A40" s="29" t="s">
        <v>64</v>
      </c>
      <c r="B40" s="30">
        <v>45317</v>
      </c>
      <c r="C40" s="4" t="s">
        <v>30</v>
      </c>
      <c r="D40" s="4" t="s">
        <v>11</v>
      </c>
      <c r="E40" s="4" t="s">
        <v>32</v>
      </c>
      <c r="F40" s="31">
        <v>4197</v>
      </c>
      <c r="G40" s="4">
        <v>2</v>
      </c>
      <c r="H40" s="4" t="s">
        <v>63</v>
      </c>
      <c r="I40" s="61" t="s">
        <v>42</v>
      </c>
      <c r="J40" s="4"/>
    </row>
    <row r="41" spans="1:10" x14ac:dyDescent="0.25">
      <c r="A41" s="29" t="s">
        <v>77</v>
      </c>
      <c r="B41" s="30">
        <v>45327</v>
      </c>
      <c r="C41" s="4" t="s">
        <v>30</v>
      </c>
      <c r="D41" s="4" t="s">
        <v>11</v>
      </c>
      <c r="E41" s="4" t="s">
        <v>32</v>
      </c>
      <c r="F41" s="31">
        <v>4318</v>
      </c>
      <c r="G41" s="4">
        <v>4</v>
      </c>
      <c r="H41" s="4" t="s">
        <v>60</v>
      </c>
      <c r="I41" s="61" t="s">
        <v>19</v>
      </c>
      <c r="J41" s="4"/>
    </row>
    <row r="42" spans="1:10" x14ac:dyDescent="0.25">
      <c r="A42" s="29" t="s">
        <v>56</v>
      </c>
      <c r="B42" s="30">
        <v>45312</v>
      </c>
      <c r="C42" s="4" t="s">
        <v>10</v>
      </c>
      <c r="D42" s="4" t="s">
        <v>11</v>
      </c>
      <c r="E42" s="4" t="s">
        <v>32</v>
      </c>
      <c r="F42" s="31">
        <v>3796</v>
      </c>
      <c r="G42" s="4">
        <v>3</v>
      </c>
      <c r="H42" s="4" t="s">
        <v>33</v>
      </c>
      <c r="I42" s="61" t="s">
        <v>42</v>
      </c>
      <c r="J42" s="4"/>
    </row>
    <row r="43" spans="1:10" x14ac:dyDescent="0.25">
      <c r="A43" s="29" t="s">
        <v>76</v>
      </c>
      <c r="B43" s="30">
        <v>45326</v>
      </c>
      <c r="C43" s="4" t="s">
        <v>30</v>
      </c>
      <c r="D43" s="4" t="s">
        <v>26</v>
      </c>
      <c r="E43" s="4" t="s">
        <v>32</v>
      </c>
      <c r="F43" s="31">
        <v>3355</v>
      </c>
      <c r="G43" s="4">
        <v>3</v>
      </c>
      <c r="H43" s="4" t="s">
        <v>33</v>
      </c>
      <c r="I43" s="61" t="s">
        <v>23</v>
      </c>
      <c r="J43" s="4"/>
    </row>
    <row r="44" spans="1:10" x14ac:dyDescent="0.25">
      <c r="A44" s="29" t="s">
        <v>80</v>
      </c>
      <c r="B44" s="30">
        <v>45330</v>
      </c>
      <c r="C44" s="4" t="s">
        <v>25</v>
      </c>
      <c r="D44" s="4" t="s">
        <v>11</v>
      </c>
      <c r="E44" s="4" t="s">
        <v>32</v>
      </c>
      <c r="F44" s="31">
        <v>4489</v>
      </c>
      <c r="G44" s="4">
        <v>8</v>
      </c>
      <c r="H44" s="4" t="s">
        <v>54</v>
      </c>
      <c r="I44" s="61" t="s">
        <v>19</v>
      </c>
      <c r="J44" s="4"/>
    </row>
    <row r="45" spans="1:10" x14ac:dyDescent="0.25">
      <c r="A45" s="29" t="s">
        <v>59</v>
      </c>
      <c r="B45" s="30">
        <v>45314</v>
      </c>
      <c r="C45" s="4" t="s">
        <v>10</v>
      </c>
      <c r="D45" s="4" t="s">
        <v>26</v>
      </c>
      <c r="E45" s="4" t="s">
        <v>32</v>
      </c>
      <c r="F45" s="31">
        <v>3252</v>
      </c>
      <c r="G45" s="4">
        <v>9</v>
      </c>
      <c r="H45" s="4" t="s">
        <v>60</v>
      </c>
      <c r="I45" s="61" t="s">
        <v>19</v>
      </c>
      <c r="J45" s="4"/>
    </row>
    <row r="46" spans="1:10" x14ac:dyDescent="0.25">
      <c r="A46" s="29" t="s">
        <v>31</v>
      </c>
      <c r="B46" s="30">
        <v>45298</v>
      </c>
      <c r="C46" s="4" t="s">
        <v>30</v>
      </c>
      <c r="D46" s="4" t="s">
        <v>11</v>
      </c>
      <c r="E46" s="4" t="s">
        <v>32</v>
      </c>
      <c r="F46" s="31">
        <v>4879</v>
      </c>
      <c r="G46" s="4">
        <v>4</v>
      </c>
      <c r="H46" s="4" t="s">
        <v>33</v>
      </c>
      <c r="I46" s="61" t="s">
        <v>23</v>
      </c>
      <c r="J46" s="4"/>
    </row>
    <row r="47" spans="1:10" x14ac:dyDescent="0.25">
      <c r="A47" s="29" t="s">
        <v>90</v>
      </c>
      <c r="B47" s="30">
        <v>45340</v>
      </c>
      <c r="C47" s="4" t="s">
        <v>41</v>
      </c>
      <c r="D47" s="4" t="s">
        <v>11</v>
      </c>
      <c r="E47" s="4" t="s">
        <v>32</v>
      </c>
      <c r="F47" s="31">
        <v>3497</v>
      </c>
      <c r="G47" s="4">
        <v>3</v>
      </c>
      <c r="H47" s="4" t="s">
        <v>13</v>
      </c>
      <c r="I47" s="61" t="s">
        <v>14</v>
      </c>
      <c r="J47" s="4"/>
    </row>
    <row r="48" spans="1:10" x14ac:dyDescent="0.25">
      <c r="A48" s="29" t="s">
        <v>68</v>
      </c>
      <c r="B48" s="30">
        <v>45320</v>
      </c>
      <c r="C48" s="4" t="s">
        <v>25</v>
      </c>
      <c r="D48" s="4" t="s">
        <v>11</v>
      </c>
      <c r="E48" s="4" t="s">
        <v>32</v>
      </c>
      <c r="F48" s="31">
        <v>3574</v>
      </c>
      <c r="G48" s="4">
        <v>5</v>
      </c>
      <c r="H48" s="4" t="s">
        <v>49</v>
      </c>
      <c r="I48" s="61" t="s">
        <v>42</v>
      </c>
      <c r="J48" s="4"/>
    </row>
    <row r="49" spans="1:10" x14ac:dyDescent="0.25">
      <c r="A49" s="29" t="s">
        <v>61</v>
      </c>
      <c r="B49" s="30">
        <v>45315</v>
      </c>
      <c r="C49" s="4" t="s">
        <v>10</v>
      </c>
      <c r="D49" s="4" t="s">
        <v>26</v>
      </c>
      <c r="E49" s="4" t="s">
        <v>32</v>
      </c>
      <c r="F49" s="31">
        <v>798</v>
      </c>
      <c r="G49" s="4">
        <v>4</v>
      </c>
      <c r="H49" s="4" t="s">
        <v>22</v>
      </c>
      <c r="I49" s="61" t="s">
        <v>42</v>
      </c>
      <c r="J49" s="4"/>
    </row>
    <row r="50" spans="1:10" x14ac:dyDescent="0.25">
      <c r="A50" s="29" t="s">
        <v>85</v>
      </c>
      <c r="B50" s="30">
        <v>45335</v>
      </c>
      <c r="C50" s="4" t="s">
        <v>16</v>
      </c>
      <c r="D50" s="4" t="s">
        <v>26</v>
      </c>
      <c r="E50" s="4" t="s">
        <v>32</v>
      </c>
      <c r="F50" s="31">
        <v>3682</v>
      </c>
      <c r="G50" s="4">
        <v>8</v>
      </c>
      <c r="H50" s="4" t="s">
        <v>13</v>
      </c>
      <c r="I50" s="61" t="s">
        <v>19</v>
      </c>
      <c r="J50" s="4"/>
    </row>
    <row r="51" spans="1:10" x14ac:dyDescent="0.25">
      <c r="A51" s="72" t="s">
        <v>40</v>
      </c>
      <c r="B51" s="73">
        <v>45302</v>
      </c>
      <c r="C51" s="74" t="s">
        <v>41</v>
      </c>
      <c r="D51" s="74" t="s">
        <v>26</v>
      </c>
      <c r="E51" s="74" t="s">
        <v>17</v>
      </c>
      <c r="F51" s="75">
        <v>3843</v>
      </c>
      <c r="G51" s="74">
        <v>1</v>
      </c>
      <c r="H51" s="74" t="s">
        <v>37</v>
      </c>
      <c r="I51" s="76" t="s">
        <v>42</v>
      </c>
      <c r="J51" s="4"/>
    </row>
    <row r="53" spans="1:10" x14ac:dyDescent="0.25">
      <c r="A53" s="41"/>
      <c r="B53" s="41"/>
      <c r="C53" s="41"/>
      <c r="D53" s="41"/>
    </row>
  </sheetData>
  <mergeCells count="1">
    <mergeCell ref="K14:O14"/>
  </mergeCells>
  <conditionalFormatting sqref="F2:F51">
    <cfRule type="cellIs" dxfId="1" priority="2" operator="lessThan">
      <formula>2000</formula>
    </cfRule>
    <cfRule type="cellIs" dxfId="0" priority="3" operator="greaterThan">
      <formula>2000</formula>
    </cfRule>
  </conditionalFormatting>
  <conditionalFormatting sqref="G1:G1048576">
    <cfRule type="dataBar" priority="1">
      <dataBar>
        <cfvo type="num" val="0"/>
        <cfvo type="num" val="20"/>
        <color rgb="FF638EC6"/>
      </dataBar>
      <extLst>
        <ext xmlns:x14="http://schemas.microsoft.com/office/spreadsheetml/2009/9/main" uri="{B025F937-C7B1-47D3-B67F-A62EFF666E3E}">
          <x14:id>{340D4D6A-79F6-4604-BD04-004E42878C05}</x14:id>
        </ext>
      </extLst>
    </cfRule>
  </conditionalFormatting>
  <dataValidations count="1">
    <dataValidation type="list" allowBlank="1" showInputMessage="1" showErrorMessage="1" sqref="D2:E2" xr:uid="{02B82290-429B-4814-8A60-E32D242FAD47}">
      <formula1>#REF!</formula1>
    </dataValidation>
  </dataValidations>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340D4D6A-79F6-4604-BD04-004E42878C05}">
            <x14:dataBar minLength="0" maxLength="100" border="1" negativeBarBorderColorSameAsPositive="0">
              <x14:cfvo type="num">
                <xm:f>0</xm:f>
              </x14:cfvo>
              <x14:cfvo type="num">
                <xm:f>20</xm:f>
              </x14:cfvo>
              <x14:borderColor rgb="FF638EC6"/>
              <x14:negativeFillColor rgb="FFFF0000"/>
              <x14:negativeBorderColor rgb="FFFF0000"/>
              <x14:axisColor rgb="FF000000"/>
            </x14:dataBar>
          </x14:cfRule>
          <xm:sqref>G1:G1048576</xm:sqref>
        </x14:conditionalFormatting>
        <x14:conditionalFormatting xmlns:xm="http://schemas.microsoft.com/office/excel/2006/main">
          <x14:cfRule type="iconSet" priority="4" id="{973E11E3-F7EB-4980-A632-3D160F094738}">
            <x14:iconSet iconSet="3Symbols2" showValue="0" custom="1">
              <x14:cfvo type="percent">
                <xm:f>0</xm:f>
              </x14:cfvo>
              <x14:cfvo type="num">
                <xm:f>0</xm:f>
              </x14:cfvo>
              <x14:cfvo type="num">
                <xm:f>1</xm:f>
              </x14:cfvo>
              <x14:cfIcon iconSet="NoIcons" iconId="0"/>
              <x14:cfIcon iconSet="NoIcons" iconId="0"/>
              <x14:cfIcon iconSet="3Symbols2" iconId="2"/>
            </x14:iconSet>
          </x14:cfRule>
          <xm:sqref>J2:J51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BA59-6188-4DE8-84D4-36A95C134D16}">
  <dimension ref="B3:M70"/>
  <sheetViews>
    <sheetView zoomScale="84" zoomScaleNormal="84" workbookViewId="0">
      <selection activeCell="K23" sqref="K23"/>
    </sheetView>
  </sheetViews>
  <sheetFormatPr defaultRowHeight="15" x14ac:dyDescent="0.25"/>
  <cols>
    <col min="2" max="2" width="13.42578125" bestFit="1" customWidth="1"/>
    <col min="3" max="3" width="20.28515625" bestFit="1" customWidth="1"/>
    <col min="4" max="4" width="18.28515625" bestFit="1" customWidth="1"/>
    <col min="5" max="5" width="13.42578125" bestFit="1" customWidth="1"/>
    <col min="6" max="6" width="20.28515625" bestFit="1" customWidth="1"/>
    <col min="7" max="7" width="6.28515625" bestFit="1" customWidth="1"/>
    <col min="8" max="9" width="7.140625" bestFit="1" customWidth="1"/>
    <col min="10" max="10" width="11.28515625" bestFit="1" customWidth="1"/>
    <col min="11" max="11" width="16.85546875" bestFit="1" customWidth="1"/>
    <col min="12" max="12" width="13.42578125" bestFit="1" customWidth="1"/>
    <col min="13" max="13" width="20.28515625" bestFit="1" customWidth="1"/>
    <col min="14" max="54" width="16.85546875" bestFit="1" customWidth="1"/>
    <col min="55" max="55" width="11.28515625" bestFit="1" customWidth="1"/>
  </cols>
  <sheetData>
    <row r="3" spans="2:13" ht="18.75" customHeight="1" x14ac:dyDescent="0.25">
      <c r="B3" s="17" t="s">
        <v>100</v>
      </c>
      <c r="D3" s="10" t="s">
        <v>101</v>
      </c>
      <c r="F3" t="s">
        <v>102</v>
      </c>
    </row>
    <row r="4" spans="2:13" ht="23.25" customHeight="1" x14ac:dyDescent="0.25">
      <c r="B4" s="11">
        <v>140300</v>
      </c>
      <c r="D4" s="44">
        <v>251</v>
      </c>
      <c r="F4">
        <v>50</v>
      </c>
    </row>
    <row r="9" spans="2:13" x14ac:dyDescent="0.25">
      <c r="B9" s="8" t="s">
        <v>96</v>
      </c>
      <c r="C9" t="s">
        <v>103</v>
      </c>
      <c r="E9" s="8" t="s">
        <v>98</v>
      </c>
      <c r="F9" s="8" t="s">
        <v>99</v>
      </c>
      <c r="L9" s="8" t="s">
        <v>96</v>
      </c>
      <c r="M9" t="s">
        <v>98</v>
      </c>
    </row>
    <row r="10" spans="2:13" x14ac:dyDescent="0.25">
      <c r="B10" s="9" t="s">
        <v>42</v>
      </c>
      <c r="C10">
        <v>79</v>
      </c>
      <c r="E10" s="8" t="s">
        <v>96</v>
      </c>
      <c r="F10" t="s">
        <v>42</v>
      </c>
      <c r="G10" t="s">
        <v>23</v>
      </c>
      <c r="H10" t="s">
        <v>19</v>
      </c>
      <c r="I10" t="s">
        <v>14</v>
      </c>
      <c r="J10" t="s">
        <v>97</v>
      </c>
      <c r="L10" s="9" t="s">
        <v>26</v>
      </c>
      <c r="M10">
        <v>51066</v>
      </c>
    </row>
    <row r="11" spans="2:13" x14ac:dyDescent="0.25">
      <c r="B11" s="9" t="s">
        <v>23</v>
      </c>
      <c r="C11">
        <v>45</v>
      </c>
      <c r="E11" s="9" t="s">
        <v>41</v>
      </c>
      <c r="F11">
        <v>6454</v>
      </c>
      <c r="G11">
        <v>3372</v>
      </c>
      <c r="I11">
        <v>4744</v>
      </c>
      <c r="J11">
        <v>14570</v>
      </c>
      <c r="L11" s="9" t="s">
        <v>11</v>
      </c>
      <c r="M11">
        <v>89234</v>
      </c>
    </row>
    <row r="12" spans="2:13" x14ac:dyDescent="0.25">
      <c r="B12" s="9" t="s">
        <v>19</v>
      </c>
      <c r="C12">
        <v>62</v>
      </c>
      <c r="E12" s="9" t="s">
        <v>16</v>
      </c>
      <c r="F12">
        <v>5061</v>
      </c>
      <c r="G12">
        <v>5977</v>
      </c>
      <c r="H12">
        <v>10198</v>
      </c>
      <c r="I12">
        <v>4476</v>
      </c>
      <c r="J12">
        <v>25712</v>
      </c>
      <c r="L12" s="9" t="s">
        <v>97</v>
      </c>
      <c r="M12">
        <v>140300</v>
      </c>
    </row>
    <row r="13" spans="2:13" x14ac:dyDescent="0.25">
      <c r="B13" s="9" t="s">
        <v>14</v>
      </c>
      <c r="C13">
        <v>65</v>
      </c>
      <c r="E13" s="9" t="s">
        <v>10</v>
      </c>
      <c r="F13">
        <v>11160</v>
      </c>
      <c r="G13">
        <v>2642</v>
      </c>
      <c r="H13">
        <v>8506</v>
      </c>
      <c r="I13">
        <v>9024</v>
      </c>
      <c r="J13">
        <v>31332</v>
      </c>
    </row>
    <row r="14" spans="2:13" x14ac:dyDescent="0.25">
      <c r="B14" s="9" t="s">
        <v>97</v>
      </c>
      <c r="C14">
        <v>251</v>
      </c>
      <c r="E14" s="9" t="s">
        <v>30</v>
      </c>
      <c r="F14">
        <v>10262</v>
      </c>
      <c r="G14">
        <v>8536</v>
      </c>
      <c r="H14">
        <v>11482</v>
      </c>
      <c r="I14">
        <v>7543</v>
      </c>
      <c r="J14">
        <v>37823</v>
      </c>
    </row>
    <row r="15" spans="2:13" x14ac:dyDescent="0.25">
      <c r="E15" s="9" t="s">
        <v>25</v>
      </c>
      <c r="F15">
        <v>14604</v>
      </c>
      <c r="G15">
        <v>7271</v>
      </c>
      <c r="H15">
        <v>5443</v>
      </c>
      <c r="I15">
        <v>3545</v>
      </c>
      <c r="J15">
        <v>30863</v>
      </c>
    </row>
    <row r="16" spans="2:13" x14ac:dyDescent="0.25">
      <c r="E16" s="9" t="s">
        <v>97</v>
      </c>
      <c r="F16">
        <v>47541</v>
      </c>
      <c r="G16">
        <v>27798</v>
      </c>
      <c r="H16">
        <v>35629</v>
      </c>
      <c r="I16">
        <v>29332</v>
      </c>
      <c r="J16">
        <v>140300</v>
      </c>
    </row>
    <row r="19" spans="2:6" x14ac:dyDescent="0.25">
      <c r="B19" s="8" t="s">
        <v>96</v>
      </c>
      <c r="C19" t="s">
        <v>98</v>
      </c>
      <c r="E19" s="8" t="s">
        <v>96</v>
      </c>
      <c r="F19" t="s">
        <v>98</v>
      </c>
    </row>
    <row r="20" spans="2:6" x14ac:dyDescent="0.25">
      <c r="B20" s="9" t="s">
        <v>41</v>
      </c>
      <c r="C20">
        <v>14570</v>
      </c>
      <c r="E20" s="12">
        <v>45292</v>
      </c>
      <c r="F20">
        <v>2775</v>
      </c>
    </row>
    <row r="21" spans="2:6" x14ac:dyDescent="0.25">
      <c r="B21" s="9" t="s">
        <v>16</v>
      </c>
      <c r="C21">
        <v>25712</v>
      </c>
      <c r="E21" s="12">
        <v>45293</v>
      </c>
      <c r="F21">
        <v>1382</v>
      </c>
    </row>
    <row r="22" spans="2:6" x14ac:dyDescent="0.25">
      <c r="B22" s="9" t="s">
        <v>25</v>
      </c>
      <c r="C22">
        <v>30863</v>
      </c>
      <c r="E22" s="12">
        <v>45294</v>
      </c>
      <c r="F22">
        <v>809</v>
      </c>
    </row>
    <row r="23" spans="2:6" x14ac:dyDescent="0.25">
      <c r="B23" s="9" t="s">
        <v>10</v>
      </c>
      <c r="C23">
        <v>31332</v>
      </c>
      <c r="E23" s="12">
        <v>45295</v>
      </c>
      <c r="F23">
        <v>4844</v>
      </c>
    </row>
    <row r="24" spans="2:6" x14ac:dyDescent="0.25">
      <c r="B24" s="9" t="s">
        <v>30</v>
      </c>
      <c r="C24">
        <v>37823</v>
      </c>
      <c r="E24" s="12">
        <v>45296</v>
      </c>
      <c r="F24">
        <v>4513</v>
      </c>
    </row>
    <row r="25" spans="2:6" x14ac:dyDescent="0.25">
      <c r="B25" s="9" t="s">
        <v>97</v>
      </c>
      <c r="C25">
        <v>140300</v>
      </c>
      <c r="E25" s="12">
        <v>45297</v>
      </c>
      <c r="F25">
        <v>2806</v>
      </c>
    </row>
    <row r="26" spans="2:6" x14ac:dyDescent="0.25">
      <c r="E26" s="12">
        <v>45298</v>
      </c>
      <c r="F26">
        <v>4879</v>
      </c>
    </row>
    <row r="27" spans="2:6" x14ac:dyDescent="0.25">
      <c r="E27" s="12">
        <v>45299</v>
      </c>
      <c r="F27">
        <v>763</v>
      </c>
    </row>
    <row r="28" spans="2:6" x14ac:dyDescent="0.25">
      <c r="E28" s="12">
        <v>45300</v>
      </c>
      <c r="F28">
        <v>2098</v>
      </c>
    </row>
    <row r="29" spans="2:6" x14ac:dyDescent="0.25">
      <c r="E29" s="12">
        <v>45301</v>
      </c>
      <c r="F29">
        <v>3545</v>
      </c>
    </row>
    <row r="30" spans="2:6" x14ac:dyDescent="0.25">
      <c r="E30" s="12">
        <v>45302</v>
      </c>
      <c r="F30">
        <v>3843</v>
      </c>
    </row>
    <row r="31" spans="2:6" x14ac:dyDescent="0.25">
      <c r="E31" s="12">
        <v>45303</v>
      </c>
      <c r="F31">
        <v>1595</v>
      </c>
    </row>
    <row r="32" spans="2:6" x14ac:dyDescent="0.25">
      <c r="E32" s="12">
        <v>45304</v>
      </c>
      <c r="F32">
        <v>3404</v>
      </c>
    </row>
    <row r="33" spans="5:6" x14ac:dyDescent="0.25">
      <c r="E33" s="12">
        <v>45305</v>
      </c>
      <c r="F33">
        <v>3863</v>
      </c>
    </row>
    <row r="34" spans="5:6" x14ac:dyDescent="0.25">
      <c r="E34" s="12">
        <v>45306</v>
      </c>
      <c r="F34">
        <v>1953</v>
      </c>
    </row>
    <row r="35" spans="5:6" x14ac:dyDescent="0.25">
      <c r="E35" s="12">
        <v>45307</v>
      </c>
      <c r="F35">
        <v>4759</v>
      </c>
    </row>
    <row r="36" spans="5:6" x14ac:dyDescent="0.25">
      <c r="E36" s="12">
        <v>45308</v>
      </c>
      <c r="F36">
        <v>1391</v>
      </c>
    </row>
    <row r="37" spans="5:6" x14ac:dyDescent="0.25">
      <c r="E37" s="12">
        <v>45309</v>
      </c>
      <c r="F37">
        <v>3681</v>
      </c>
    </row>
    <row r="38" spans="5:6" x14ac:dyDescent="0.25">
      <c r="E38" s="12">
        <v>45310</v>
      </c>
      <c r="F38">
        <v>3557</v>
      </c>
    </row>
    <row r="39" spans="5:6" x14ac:dyDescent="0.25">
      <c r="E39" s="12">
        <v>45311</v>
      </c>
      <c r="F39">
        <v>1736</v>
      </c>
    </row>
    <row r="40" spans="5:6" x14ac:dyDescent="0.25">
      <c r="E40" s="12">
        <v>45312</v>
      </c>
      <c r="F40">
        <v>3796</v>
      </c>
    </row>
    <row r="41" spans="5:6" x14ac:dyDescent="0.25">
      <c r="E41" s="12">
        <v>45313</v>
      </c>
      <c r="F41">
        <v>3099</v>
      </c>
    </row>
    <row r="42" spans="5:6" x14ac:dyDescent="0.25">
      <c r="E42" s="12">
        <v>45314</v>
      </c>
      <c r="F42">
        <v>3252</v>
      </c>
    </row>
    <row r="43" spans="5:6" x14ac:dyDescent="0.25">
      <c r="E43" s="12">
        <v>45315</v>
      </c>
      <c r="F43">
        <v>798</v>
      </c>
    </row>
    <row r="44" spans="5:6" x14ac:dyDescent="0.25">
      <c r="E44" s="12">
        <v>45316</v>
      </c>
      <c r="F44">
        <v>2260</v>
      </c>
    </row>
    <row r="45" spans="5:6" x14ac:dyDescent="0.25">
      <c r="E45" s="12">
        <v>45317</v>
      </c>
      <c r="F45">
        <v>4197</v>
      </c>
    </row>
    <row r="46" spans="5:6" x14ac:dyDescent="0.25">
      <c r="E46" s="12">
        <v>45318</v>
      </c>
      <c r="F46">
        <v>4837</v>
      </c>
    </row>
    <row r="47" spans="5:6" x14ac:dyDescent="0.25">
      <c r="E47" s="12">
        <v>45319</v>
      </c>
      <c r="F47">
        <v>954</v>
      </c>
    </row>
    <row r="48" spans="5:6" x14ac:dyDescent="0.25">
      <c r="E48" s="12">
        <v>45320</v>
      </c>
      <c r="F48">
        <v>3574</v>
      </c>
    </row>
    <row r="49" spans="5:6" x14ac:dyDescent="0.25">
      <c r="E49" s="12">
        <v>45321</v>
      </c>
      <c r="F49">
        <v>1807</v>
      </c>
    </row>
    <row r="50" spans="5:6" x14ac:dyDescent="0.25">
      <c r="E50" s="12">
        <v>45322</v>
      </c>
      <c r="F50">
        <v>2877</v>
      </c>
    </row>
    <row r="51" spans="5:6" x14ac:dyDescent="0.25">
      <c r="E51" s="12">
        <v>45323</v>
      </c>
      <c r="F51">
        <v>1833</v>
      </c>
    </row>
    <row r="52" spans="5:6" x14ac:dyDescent="0.25">
      <c r="E52" s="12">
        <v>45324</v>
      </c>
      <c r="F52">
        <v>3610</v>
      </c>
    </row>
    <row r="53" spans="5:6" x14ac:dyDescent="0.25">
      <c r="E53" s="12">
        <v>45325</v>
      </c>
      <c r="F53">
        <v>302</v>
      </c>
    </row>
    <row r="54" spans="5:6" x14ac:dyDescent="0.25">
      <c r="E54" s="12">
        <v>45326</v>
      </c>
      <c r="F54">
        <v>3355</v>
      </c>
    </row>
    <row r="55" spans="5:6" x14ac:dyDescent="0.25">
      <c r="E55" s="12">
        <v>45327</v>
      </c>
      <c r="F55">
        <v>4318</v>
      </c>
    </row>
    <row r="56" spans="5:6" x14ac:dyDescent="0.25">
      <c r="E56" s="12">
        <v>45328</v>
      </c>
      <c r="F56">
        <v>4596</v>
      </c>
    </row>
    <row r="57" spans="5:6" x14ac:dyDescent="0.25">
      <c r="E57" s="12">
        <v>45329</v>
      </c>
      <c r="F57">
        <v>866</v>
      </c>
    </row>
    <row r="58" spans="5:6" x14ac:dyDescent="0.25">
      <c r="E58" s="12">
        <v>45330</v>
      </c>
      <c r="F58">
        <v>4489</v>
      </c>
    </row>
    <row r="59" spans="5:6" x14ac:dyDescent="0.25">
      <c r="E59" s="12">
        <v>45331</v>
      </c>
      <c r="F59">
        <v>2427</v>
      </c>
    </row>
    <row r="60" spans="5:6" x14ac:dyDescent="0.25">
      <c r="E60" s="12">
        <v>45332</v>
      </c>
      <c r="F60">
        <v>3031</v>
      </c>
    </row>
    <row r="61" spans="5:6" x14ac:dyDescent="0.25">
      <c r="E61" s="12">
        <v>45333</v>
      </c>
      <c r="F61">
        <v>297</v>
      </c>
    </row>
    <row r="62" spans="5:6" x14ac:dyDescent="0.25">
      <c r="E62" s="12">
        <v>45334</v>
      </c>
      <c r="F62">
        <v>2030</v>
      </c>
    </row>
    <row r="63" spans="5:6" x14ac:dyDescent="0.25">
      <c r="E63" s="12">
        <v>45335</v>
      </c>
      <c r="F63">
        <v>3682</v>
      </c>
    </row>
    <row r="64" spans="5:6" x14ac:dyDescent="0.25">
      <c r="E64" s="12">
        <v>45336</v>
      </c>
      <c r="F64">
        <v>708</v>
      </c>
    </row>
    <row r="65" spans="5:6" x14ac:dyDescent="0.25">
      <c r="E65" s="12">
        <v>45337</v>
      </c>
      <c r="F65">
        <v>3372</v>
      </c>
    </row>
    <row r="66" spans="5:6" x14ac:dyDescent="0.25">
      <c r="E66" s="12">
        <v>45338</v>
      </c>
      <c r="F66">
        <v>1247</v>
      </c>
    </row>
    <row r="67" spans="5:6" x14ac:dyDescent="0.25">
      <c r="E67" s="12">
        <v>45339</v>
      </c>
      <c r="F67">
        <v>4382</v>
      </c>
    </row>
    <row r="68" spans="5:6" x14ac:dyDescent="0.25">
      <c r="E68" s="12">
        <v>45340</v>
      </c>
      <c r="F68">
        <v>3497</v>
      </c>
    </row>
    <row r="69" spans="5:6" x14ac:dyDescent="0.25">
      <c r="E69" s="12">
        <v>45341</v>
      </c>
      <c r="F69">
        <v>2611</v>
      </c>
    </row>
    <row r="70" spans="5:6" x14ac:dyDescent="0.25">
      <c r="E70" s="9" t="s">
        <v>97</v>
      </c>
      <c r="F70">
        <v>140300</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2D60-634A-4C55-A0E3-0351F7B29A2F}">
  <dimension ref="A5:S28"/>
  <sheetViews>
    <sheetView zoomScale="95" zoomScaleNormal="95" workbookViewId="0">
      <selection activeCell="Q30" sqref="Q30"/>
    </sheetView>
  </sheetViews>
  <sheetFormatPr defaultRowHeight="15" x14ac:dyDescent="0.25"/>
  <cols>
    <col min="1" max="1" width="9.140625" style="13"/>
    <col min="2" max="2" width="9.28515625" style="13" customWidth="1"/>
    <col min="3" max="3" width="8" style="13" customWidth="1"/>
    <col min="4" max="13" width="9.140625" style="13"/>
    <col min="14" max="14" width="9" style="13" customWidth="1"/>
    <col min="15" max="16" width="9.140625" style="13"/>
    <col min="17" max="17" width="12.5703125" style="13" bestFit="1" customWidth="1"/>
    <col min="18" max="18" width="14.7109375" style="13" bestFit="1" customWidth="1"/>
    <col min="19" max="19" width="14.5703125" style="13" bestFit="1" customWidth="1"/>
    <col min="20" max="20" width="8" style="13" bestFit="1" customWidth="1"/>
    <col min="21" max="21" width="13.140625" style="13" bestFit="1" customWidth="1"/>
    <col min="22" max="22" width="22.28515625" style="13" bestFit="1" customWidth="1"/>
    <col min="23" max="23" width="17.42578125" style="13" bestFit="1" customWidth="1"/>
    <col min="24" max="16384" width="9.140625" style="13"/>
  </cols>
  <sheetData>
    <row r="5" spans="2:19" ht="15.75" x14ac:dyDescent="0.25">
      <c r="Q5" s="59" t="s">
        <v>4</v>
      </c>
      <c r="R5" s="58" t="s">
        <v>104</v>
      </c>
      <c r="S5" s="57" t="s">
        <v>5</v>
      </c>
    </row>
    <row r="6" spans="2:19" ht="15.75" x14ac:dyDescent="0.25">
      <c r="G6" s="14"/>
      <c r="Q6" s="45" t="s">
        <v>17</v>
      </c>
      <c r="R6" s="50"/>
      <c r="S6" s="51"/>
    </row>
    <row r="7" spans="2:19" ht="15.75" x14ac:dyDescent="0.25">
      <c r="B7" s="15"/>
      <c r="Q7" s="52" t="s">
        <v>42</v>
      </c>
      <c r="R7" s="53">
        <v>15</v>
      </c>
      <c r="S7" s="54">
        <v>11921</v>
      </c>
    </row>
    <row r="8" spans="2:19" ht="15.75" x14ac:dyDescent="0.25">
      <c r="Q8" s="52" t="s">
        <v>23</v>
      </c>
      <c r="R8" s="53">
        <v>9</v>
      </c>
      <c r="S8" s="54">
        <v>8216</v>
      </c>
    </row>
    <row r="9" spans="2:19" ht="15.75" x14ac:dyDescent="0.25">
      <c r="Q9" s="52" t="s">
        <v>19</v>
      </c>
      <c r="R9" s="53">
        <v>17</v>
      </c>
      <c r="S9" s="54">
        <v>13593</v>
      </c>
    </row>
    <row r="10" spans="2:19" ht="15.75" x14ac:dyDescent="0.25">
      <c r="Q10" s="52" t="s">
        <v>14</v>
      </c>
      <c r="R10" s="53">
        <v>15</v>
      </c>
      <c r="S10" s="54">
        <v>2010</v>
      </c>
    </row>
    <row r="11" spans="2:19" ht="15.75" x14ac:dyDescent="0.25">
      <c r="Q11" s="46" t="s">
        <v>12</v>
      </c>
      <c r="R11" s="55"/>
      <c r="S11" s="56"/>
    </row>
    <row r="12" spans="2:19" ht="15.75" x14ac:dyDescent="0.25">
      <c r="Q12" s="52" t="s">
        <v>42</v>
      </c>
      <c r="R12" s="53">
        <v>18</v>
      </c>
      <c r="S12" s="54">
        <v>13587</v>
      </c>
    </row>
    <row r="13" spans="2:19" ht="15.75" x14ac:dyDescent="0.25">
      <c r="Q13" s="52" t="s">
        <v>23</v>
      </c>
      <c r="R13" s="53">
        <v>13</v>
      </c>
      <c r="S13" s="54">
        <v>8404</v>
      </c>
    </row>
    <row r="14" spans="2:19" ht="15.75" x14ac:dyDescent="0.25">
      <c r="Q14" s="52" t="s">
        <v>19</v>
      </c>
      <c r="R14" s="53">
        <v>4</v>
      </c>
      <c r="S14" s="54">
        <v>2098</v>
      </c>
    </row>
    <row r="15" spans="2:19" ht="15.75" x14ac:dyDescent="0.25">
      <c r="Q15" s="52" t="s">
        <v>14</v>
      </c>
      <c r="R15" s="53">
        <v>28</v>
      </c>
      <c r="S15" s="54">
        <v>11737</v>
      </c>
    </row>
    <row r="16" spans="2:19" ht="15.75" x14ac:dyDescent="0.25">
      <c r="Q16" s="46" t="s">
        <v>21</v>
      </c>
      <c r="R16" s="55"/>
      <c r="S16" s="56"/>
    </row>
    <row r="17" spans="1:19" ht="15.75" x14ac:dyDescent="0.25">
      <c r="Q17" s="52" t="s">
        <v>42</v>
      </c>
      <c r="R17" s="53">
        <v>32</v>
      </c>
      <c r="S17" s="54">
        <v>9668</v>
      </c>
    </row>
    <row r="18" spans="1:19" ht="15.75" x14ac:dyDescent="0.25">
      <c r="Q18" s="52" t="s">
        <v>23</v>
      </c>
      <c r="R18" s="53">
        <v>16</v>
      </c>
      <c r="S18" s="54">
        <v>2944</v>
      </c>
    </row>
    <row r="19" spans="1:19" ht="15.75" x14ac:dyDescent="0.25">
      <c r="Q19" s="52" t="s">
        <v>19</v>
      </c>
      <c r="R19" s="53">
        <v>12</v>
      </c>
      <c r="S19" s="54">
        <v>4197</v>
      </c>
    </row>
    <row r="20" spans="1:19" ht="15.75" x14ac:dyDescent="0.25">
      <c r="A20" s="16"/>
      <c r="B20" s="16"/>
      <c r="C20" s="16"/>
      <c r="D20" s="16"/>
      <c r="Q20" s="52" t="s">
        <v>14</v>
      </c>
      <c r="R20" s="53">
        <v>19</v>
      </c>
      <c r="S20" s="54">
        <v>12088</v>
      </c>
    </row>
    <row r="21" spans="1:19" ht="15.75" x14ac:dyDescent="0.25">
      <c r="A21" s="16"/>
      <c r="B21" s="16"/>
      <c r="C21" s="16"/>
      <c r="D21" s="16"/>
      <c r="Q21" s="46" t="s">
        <v>32</v>
      </c>
      <c r="R21" s="55"/>
      <c r="S21" s="56"/>
    </row>
    <row r="22" spans="1:19" ht="15.75" x14ac:dyDescent="0.25">
      <c r="A22" s="16"/>
      <c r="B22" s="16"/>
      <c r="C22" s="16"/>
      <c r="D22" s="16"/>
      <c r="Q22" s="52" t="s">
        <v>42</v>
      </c>
      <c r="R22" s="53">
        <v>14</v>
      </c>
      <c r="S22" s="54">
        <v>12365</v>
      </c>
    </row>
    <row r="23" spans="1:19" ht="15.75" x14ac:dyDescent="0.25">
      <c r="A23" s="16"/>
      <c r="B23" s="16"/>
      <c r="C23" s="16"/>
      <c r="D23" s="16"/>
      <c r="Q23" s="52" t="s">
        <v>23</v>
      </c>
      <c r="R23" s="53">
        <v>7</v>
      </c>
      <c r="S23" s="54">
        <v>8234</v>
      </c>
    </row>
    <row r="24" spans="1:19" ht="15.75" x14ac:dyDescent="0.25">
      <c r="A24" s="16"/>
      <c r="B24" s="16"/>
      <c r="C24" s="16"/>
      <c r="D24" s="16"/>
      <c r="Q24" s="52" t="s">
        <v>19</v>
      </c>
      <c r="R24" s="53">
        <v>29</v>
      </c>
      <c r="S24" s="54">
        <v>15741</v>
      </c>
    </row>
    <row r="25" spans="1:19" ht="15.75" x14ac:dyDescent="0.25">
      <c r="A25" s="16"/>
      <c r="B25" s="16"/>
      <c r="C25" s="16"/>
      <c r="D25" s="16"/>
      <c r="Q25" s="52" t="s">
        <v>14</v>
      </c>
      <c r="R25" s="53">
        <v>3</v>
      </c>
      <c r="S25" s="54">
        <v>3497</v>
      </c>
    </row>
    <row r="26" spans="1:19" ht="15.75" x14ac:dyDescent="0.25">
      <c r="A26" s="16"/>
      <c r="B26" s="16"/>
      <c r="C26" s="16"/>
      <c r="D26" s="16"/>
      <c r="Q26" s="47" t="s">
        <v>97</v>
      </c>
      <c r="R26" s="49">
        <v>251</v>
      </c>
      <c r="S26" s="48">
        <v>140300</v>
      </c>
    </row>
    <row r="27" spans="1:19" ht="15.75" x14ac:dyDescent="0.25">
      <c r="A27" s="16"/>
      <c r="B27" s="16"/>
      <c r="C27" s="16"/>
      <c r="D27" s="16"/>
    </row>
    <row r="28" spans="1:19" ht="15.75" x14ac:dyDescent="0.25">
      <c r="A28" s="16"/>
      <c r="B28" s="16"/>
      <c r="C28" s="16"/>
      <c r="D28" s="1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925E-F5B2-4B0D-AA87-EE8E123D01D0}">
  <dimension ref="A1:A38"/>
  <sheetViews>
    <sheetView zoomScale="93" zoomScaleNormal="93" workbookViewId="0">
      <selection activeCell="A2" sqref="A2"/>
    </sheetView>
  </sheetViews>
  <sheetFormatPr defaultRowHeight="15" x14ac:dyDescent="0.25"/>
  <cols>
    <col min="1" max="1" width="107" style="4" customWidth="1"/>
    <col min="2" max="16384" width="9.140625" style="4"/>
  </cols>
  <sheetData>
    <row r="1" spans="1:1" ht="23.25" x14ac:dyDescent="0.25">
      <c r="A1" s="18" t="s">
        <v>105</v>
      </c>
    </row>
    <row r="2" spans="1:1" ht="18.75" x14ac:dyDescent="0.25">
      <c r="A2" s="19" t="s">
        <v>100</v>
      </c>
    </row>
    <row r="3" spans="1:1" ht="18.75" x14ac:dyDescent="0.3">
      <c r="A3" s="20" t="s">
        <v>117</v>
      </c>
    </row>
    <row r="4" spans="1:1" ht="18.75" x14ac:dyDescent="0.3">
      <c r="A4" s="20"/>
    </row>
    <row r="5" spans="1:1" ht="18.75" x14ac:dyDescent="0.25">
      <c r="A5" s="19" t="s">
        <v>101</v>
      </c>
    </row>
    <row r="6" spans="1:1" ht="18.75" x14ac:dyDescent="0.3">
      <c r="A6" s="20" t="s">
        <v>106</v>
      </c>
    </row>
    <row r="7" spans="1:1" ht="18.75" x14ac:dyDescent="0.3">
      <c r="A7" s="20"/>
    </row>
    <row r="8" spans="1:1" ht="18.75" x14ac:dyDescent="0.25">
      <c r="A8" s="19" t="s">
        <v>128</v>
      </c>
    </row>
    <row r="9" spans="1:1" ht="18.75" x14ac:dyDescent="0.3">
      <c r="A9" s="20" t="s">
        <v>107</v>
      </c>
    </row>
    <row r="10" spans="1:1" ht="18.75" x14ac:dyDescent="0.3">
      <c r="A10" s="20"/>
    </row>
    <row r="11" spans="1:1" ht="18.75" x14ac:dyDescent="0.25">
      <c r="A11" s="19" t="s">
        <v>129</v>
      </c>
    </row>
    <row r="12" spans="1:1" ht="18.75" x14ac:dyDescent="0.3">
      <c r="A12" s="20" t="s">
        <v>130</v>
      </c>
    </row>
    <row r="14" spans="1:1" ht="23.25" x14ac:dyDescent="0.25">
      <c r="A14" s="18" t="s">
        <v>118</v>
      </c>
    </row>
    <row r="15" spans="1:1" ht="18.75" x14ac:dyDescent="0.25">
      <c r="A15" s="19" t="s">
        <v>131</v>
      </c>
    </row>
    <row r="16" spans="1:1" ht="18.75" x14ac:dyDescent="0.3">
      <c r="A16" s="20" t="s">
        <v>119</v>
      </c>
    </row>
    <row r="17" spans="1:1" ht="18.75" x14ac:dyDescent="0.3">
      <c r="A17" s="20" t="s">
        <v>108</v>
      </c>
    </row>
    <row r="18" spans="1:1" ht="18.75" x14ac:dyDescent="0.3">
      <c r="A18" s="20"/>
    </row>
    <row r="19" spans="1:1" ht="18.75" x14ac:dyDescent="0.25">
      <c r="A19" s="19" t="s">
        <v>120</v>
      </c>
    </row>
    <row r="20" spans="1:1" ht="18.75" x14ac:dyDescent="0.3">
      <c r="A20" s="20" t="s">
        <v>121</v>
      </c>
    </row>
    <row r="21" spans="1:1" ht="18.75" x14ac:dyDescent="0.3">
      <c r="A21" s="20" t="s">
        <v>109</v>
      </c>
    </row>
    <row r="22" spans="1:1" ht="18.75" x14ac:dyDescent="0.3">
      <c r="A22" s="20"/>
    </row>
    <row r="23" spans="1:1" ht="18.75" x14ac:dyDescent="0.25">
      <c r="A23" s="19" t="s">
        <v>122</v>
      </c>
    </row>
    <row r="24" spans="1:1" ht="18.75" x14ac:dyDescent="0.3">
      <c r="A24" s="20" t="s">
        <v>110</v>
      </c>
    </row>
    <row r="25" spans="1:1" ht="18.75" x14ac:dyDescent="0.3">
      <c r="A25" s="20" t="s">
        <v>111</v>
      </c>
    </row>
    <row r="26" spans="1:1" ht="18.75" x14ac:dyDescent="0.3">
      <c r="A26" s="20"/>
    </row>
    <row r="27" spans="1:1" ht="18.75" x14ac:dyDescent="0.25">
      <c r="A27" s="19" t="s">
        <v>123</v>
      </c>
    </row>
    <row r="28" spans="1:1" ht="18.75" x14ac:dyDescent="0.3">
      <c r="A28" s="20" t="s">
        <v>124</v>
      </c>
    </row>
    <row r="29" spans="1:1" ht="18.75" x14ac:dyDescent="0.3">
      <c r="A29" s="20" t="s">
        <v>112</v>
      </c>
    </row>
    <row r="31" spans="1:1" ht="23.25" x14ac:dyDescent="0.25">
      <c r="A31" s="18" t="s">
        <v>127</v>
      </c>
    </row>
    <row r="32" spans="1:1" ht="18.75" x14ac:dyDescent="0.25">
      <c r="A32" s="19" t="s">
        <v>125</v>
      </c>
    </row>
    <row r="33" spans="1:1" ht="18.75" x14ac:dyDescent="0.3">
      <c r="A33" s="20" t="s">
        <v>113</v>
      </c>
    </row>
    <row r="34" spans="1:1" ht="18.75" x14ac:dyDescent="0.3">
      <c r="A34" s="20" t="s">
        <v>114</v>
      </c>
    </row>
    <row r="35" spans="1:1" ht="18.75" x14ac:dyDescent="0.3">
      <c r="A35" s="20"/>
    </row>
    <row r="36" spans="1:1" ht="18.75" x14ac:dyDescent="0.25">
      <c r="A36" s="19" t="s">
        <v>126</v>
      </c>
    </row>
    <row r="37" spans="1:1" ht="18.75" x14ac:dyDescent="0.3">
      <c r="A37" s="20" t="s">
        <v>115</v>
      </c>
    </row>
    <row r="38" spans="1:1" ht="18.75" x14ac:dyDescent="0.3">
      <c r="A38" s="20"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91B3B3-B12A-4081-A217-189525DD3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vt:lpstr>
      <vt:lpstr>Conditional Foramtting &amp; IFs  </vt:lpstr>
      <vt:lpstr>Data Validation</vt:lpstr>
      <vt:lpstr>Lookups</vt:lpstr>
      <vt:lpstr>Pivot Tables</vt:lpstr>
      <vt:lpstr>Dashboard</vt:lpstr>
      <vt:lpstr>Dashboard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Aaquib Jawed</dc:creator>
  <cp:lastModifiedBy>Sumaya Mateen</cp:lastModifiedBy>
  <dcterms:created xsi:type="dcterms:W3CDTF">2025-06-10T09:07:48Z</dcterms:created>
  <dcterms:modified xsi:type="dcterms:W3CDTF">2025-08-14T07:05:29Z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2025-06-10T09:08:03Z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53504296-7720-411b-a041-794b955fe5fe</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