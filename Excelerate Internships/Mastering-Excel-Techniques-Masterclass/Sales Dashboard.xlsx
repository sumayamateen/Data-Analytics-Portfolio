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AAFC2D0D-26A4-4CDC-9741-D3ADA757D2A5}" xr6:coauthVersionLast="47" xr6:coauthVersionMax="47" xr10:uidLastSave="{00000000-0000-0000-0000-000000000000}"/>
  <bookViews>
    <workbookView xWindow="-120" yWindow="-120" windowWidth="20730" windowHeight="11160" xr2:uid="{1117579D-4FA0-4784-9C13-8CF96549B3DB}"/>
  </bookViews>
  <sheets>
    <sheet name="Clean Data" sheetId="1" r:id="rId1"/>
    <sheet name="Pivot Tables" sheetId="2" r:id="rId2"/>
    <sheet name="Dashboard" sheetId="3" r:id="rId3"/>
    <sheet name="Description" sheetId="4" r:id="rId4"/>
  </sheets>
  <definedNames>
    <definedName name="_xlcn.WorksheetConnection_SalesDataSet.xlsxTable11" hidden="1">Table1</definedName>
    <definedName name="_xlcn.WorksheetConnection_SalesDataSetversion2.xlsbTable1_11" hidden="1">Table1_1[]</definedName>
    <definedName name="Slicer_Product">#N/A</definedName>
    <definedName name="Slicer_Region">#N/A</definedName>
  </definedNames>
  <calcPr calcId="191029"/>
  <pivotCaches>
    <pivotCache cacheId="449" r:id="rId5"/>
    <pivotCache cacheId="452" r:id="rId6"/>
    <pivotCache cacheId="455" r:id="rId7"/>
    <pivotCache cacheId="458" r:id="rId8"/>
    <pivotCache cacheId="461" r:id="rId9"/>
    <pivotCache cacheId="464" r:id="rId10"/>
    <pivotCache cacheId="467" r:id="rId11"/>
    <pivotCache cacheId="470" r:id="rId12"/>
    <pivotCache cacheId="473" r:id="rId13"/>
  </pivotCaches>
  <extLst>
    <ext xmlns:x14="http://schemas.microsoft.com/office/spreadsheetml/2009/9/main" uri="{876F7934-8845-4945-9796-88D515C7AA90}">
      <x14:pivotCaches>
        <pivotCache cacheId="10" r:id="rId14"/>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Set.xlsx!Table1"/>
          <x15:modelTable id="Table1_1" name="Table1_1" connection="WorksheetConnection_Sales DataSet (version 2).xlsb!Table1_1"/>
        </x15:modelTables>
        <x15:modelRelationships>
          <x15:modelRelationship fromTable="Table1" fromColumn="Order ID" toTable="Table1_1" toColumn="Order ID"/>
        </x15:modelRelationships>
        <x15:extLst>
          <ext xmlns:x16="http://schemas.microsoft.com/office/spreadsheetml/2014/11/main" uri="{9835A34E-60A6-4A7C-AAB8-D5F71C897F49}">
            <x16:modelTimeGroupings>
              <x16:modelTimeGrouping tableName="Table1_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R3" i="1" l="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470646-234A-4519-B5B6-7557230BA8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84BBF2-5F23-4D94-BAAD-F7A9D9AE3E94}" name="WorksheetConnection_Sales DataSet (version 2).xlsb!Table1_1" type="102" refreshedVersion="8" minRefreshableVersion="5">
    <extLst>
      <ext xmlns:x15="http://schemas.microsoft.com/office/spreadsheetml/2010/11/main" uri="{DE250136-89BD-433C-8126-D09CA5730AF9}">
        <x15:connection id="Table1_1" autoDelete="1">
          <x15:rangePr sourceName="_xlcn.WorksheetConnection_SalesDataSetversion2.xlsbTable1_11"/>
        </x15:connection>
      </ext>
    </extLst>
  </connection>
  <connection id="3" xr16:uid="{80EC2C19-7325-43B4-8FA0-82D112F45E9B}" name="WorksheetConnection_Sales DataSet.xlsx!Table1" type="102" refreshedVersion="8" minRefreshableVersion="5">
    <extLst>
      <ext xmlns:x15="http://schemas.microsoft.com/office/spreadsheetml/2010/11/main" uri="{DE250136-89BD-433C-8126-D09CA5730AF9}">
        <x15:connection id="Table1" autoDelete="1">
          <x15:rangePr sourceName="_xlcn.WorksheetConnection_SalesDataSet.xlsxTable11"/>
        </x15:connection>
      </ext>
    </extLst>
  </connection>
</connections>
</file>

<file path=xl/sharedStrings.xml><?xml version="1.0" encoding="utf-8"?>
<sst xmlns="http://schemas.openxmlformats.org/spreadsheetml/2006/main" count="406" uniqueCount="132">
  <si>
    <t>Order ID</t>
  </si>
  <si>
    <t>Order Date</t>
  </si>
  <si>
    <t>Product</t>
  </si>
  <si>
    <t>Category</t>
  </si>
  <si>
    <t>Region</t>
  </si>
  <si>
    <t>Sales Amount</t>
  </si>
  <si>
    <t>Quantity</t>
  </si>
  <si>
    <t>Customer Name</t>
  </si>
  <si>
    <t>Salesperson</t>
  </si>
  <si>
    <t>ORD1013</t>
  </si>
  <si>
    <t>Monitor</t>
  </si>
  <si>
    <t>Electronics</t>
  </si>
  <si>
    <t>North</t>
  </si>
  <si>
    <t>Customer 3</t>
  </si>
  <si>
    <t>Sophia</t>
  </si>
  <si>
    <t>ORD1039</t>
  </si>
  <si>
    <t>Laptop</t>
  </si>
  <si>
    <t>East</t>
  </si>
  <si>
    <t>Customer 18</t>
  </si>
  <si>
    <t>Robert</t>
  </si>
  <si>
    <t>ORD1030</t>
  </si>
  <si>
    <t>South</t>
  </si>
  <si>
    <t>Customer 14</t>
  </si>
  <si>
    <t>John</t>
  </si>
  <si>
    <t>ORD1045</t>
  </si>
  <si>
    <t>Printer</t>
  </si>
  <si>
    <t>Accessories</t>
  </si>
  <si>
    <t>ORD1017</t>
  </si>
  <si>
    <t>Customer 2</t>
  </si>
  <si>
    <t>ORD1048</t>
  </si>
  <si>
    <t>Mouse</t>
  </si>
  <si>
    <t>ORD1026</t>
  </si>
  <si>
    <t>West</t>
  </si>
  <si>
    <t>Customer 16</t>
  </si>
  <si>
    <t>ORD1025</t>
  </si>
  <si>
    <t>Customer 9</t>
  </si>
  <si>
    <t>ORD1032</t>
  </si>
  <si>
    <t>Customer 4</t>
  </si>
  <si>
    <t>ORD1019</t>
  </si>
  <si>
    <t>Customer 1</t>
  </si>
  <si>
    <t>ORD1012</t>
  </si>
  <si>
    <t>Keyboard</t>
  </si>
  <si>
    <t>Alice</t>
  </si>
  <si>
    <t>ORD1004</t>
  </si>
  <si>
    <t>ORD1037</t>
  </si>
  <si>
    <t>ORD1008</t>
  </si>
  <si>
    <t>ORD1003</t>
  </si>
  <si>
    <t>Customer 20</t>
  </si>
  <si>
    <t>ORD1006</t>
  </si>
  <si>
    <t>Customer 8</t>
  </si>
  <si>
    <t>ORD1041</t>
  </si>
  <si>
    <t>Customer 7</t>
  </si>
  <si>
    <t>ORD1046</t>
  </si>
  <si>
    <t>ORD1047</t>
  </si>
  <si>
    <t>Customer 17</t>
  </si>
  <si>
    <t>ORD1015</t>
  </si>
  <si>
    <t>ORD1009</t>
  </si>
  <si>
    <t>ORD1016</t>
  </si>
  <si>
    <t>Customer 12</t>
  </si>
  <si>
    <t>ORD1024</t>
  </si>
  <si>
    <t>Customer 19</t>
  </si>
  <si>
    <t>ORD1034</t>
  </si>
  <si>
    <t>ORD1031</t>
  </si>
  <si>
    <t>Customer 6</t>
  </si>
  <si>
    <t>ORD1000</t>
  </si>
  <si>
    <t>ORD1044</t>
  </si>
  <si>
    <t>Customer 13</t>
  </si>
  <si>
    <t>ORD1027</t>
  </si>
  <si>
    <t>ORD1033</t>
  </si>
  <si>
    <t>ORD1005</t>
  </si>
  <si>
    <t>ORD1029</t>
  </si>
  <si>
    <t>ORD1011</t>
  </si>
  <si>
    <t>Customer 15</t>
  </si>
  <si>
    <t>ORD1036</t>
  </si>
  <si>
    <t>ORD1001</t>
  </si>
  <si>
    <t>Customer 5</t>
  </si>
  <si>
    <t>ORD1021</t>
  </si>
  <si>
    <t>ORD1002</t>
  </si>
  <si>
    <t>ORD1043</t>
  </si>
  <si>
    <t>ORD1035</t>
  </si>
  <si>
    <t>ORD1023</t>
  </si>
  <si>
    <t>ORD1040</t>
  </si>
  <si>
    <t>ORD1010</t>
  </si>
  <si>
    <t>ORD1022</t>
  </si>
  <si>
    <t>ORD1018</t>
  </si>
  <si>
    <t>ORD1049</t>
  </si>
  <si>
    <t>ORD1020</t>
  </si>
  <si>
    <t>ORD1007</t>
  </si>
  <si>
    <t>ORD1042</t>
  </si>
  <si>
    <t>ORD1014</t>
  </si>
  <si>
    <t>ORD1028</t>
  </si>
  <si>
    <t>ORD1038</t>
  </si>
  <si>
    <t>Imputation Of Blank &amp; N/A</t>
  </si>
  <si>
    <t>"Region" blank fill with mode after sort by ascending</t>
  </si>
  <si>
    <t>"Sales Amount" N/A fill with average</t>
  </si>
  <si>
    <t>Change the "Order Date" type</t>
  </si>
  <si>
    <t>Row Labels</t>
  </si>
  <si>
    <t>Grand Total</t>
  </si>
  <si>
    <t>Sum of Sales Amount</t>
  </si>
  <si>
    <t>Column Labels</t>
  </si>
  <si>
    <t>Total Sales Amount</t>
  </si>
  <si>
    <t>Total Quantity Sold</t>
  </si>
  <si>
    <t>Count of Order ID</t>
  </si>
  <si>
    <t>Sum of Quantity</t>
  </si>
  <si>
    <t>Quantity Sold</t>
  </si>
  <si>
    <t>1. Metrics (KPIs)</t>
  </si>
  <si>
    <t>Shows the total number of products sold.</t>
  </si>
  <si>
    <t>Indicates the total number of orders placed.</t>
  </si>
  <si>
    <t>Highlights best-selling items for strategic insight.</t>
  </si>
  <si>
    <t>Helps track growth patterns and performance over time.</t>
  </si>
  <si>
    <t>Shows each product category’s percentage share of total sales.</t>
  </si>
  <si>
    <t>Offers a quick view of revenue contribution by category.</t>
  </si>
  <si>
    <t>Useful for geographic and individual performance comparison.</t>
  </si>
  <si>
    <t>Allows users to filter the entire dashboard by region.</t>
  </si>
  <si>
    <t>Enables focused analysis of geographic sales performance.</t>
  </si>
  <si>
    <t>Filters all visuals by product type.</t>
  </si>
  <si>
    <t>Useful for narrowing insights to specific product categories.</t>
  </si>
  <si>
    <t>Represents the total sales generated from all sales.</t>
  </si>
  <si>
    <t xml:space="preserve"> 2. Charts</t>
  </si>
  <si>
    <t>Displays total sales per product  in ascending order.</t>
  </si>
  <si>
    <t>Sales Over Time (Line Chart)</t>
  </si>
  <si>
    <t>Visualizes periodic sales trends based on order date.</t>
  </si>
  <si>
    <t>Sales Distribution By Category (Pie Chart)</t>
  </si>
  <si>
    <t>Sales by Region &amp; Salesperson (Table)</t>
  </si>
  <si>
    <t>Tabular summary of sales performance by region and salesperson.</t>
  </si>
  <si>
    <t>Region Slicer</t>
  </si>
  <si>
    <t>Product Slicer</t>
  </si>
  <si>
    <t xml:space="preserve">3. Slicers </t>
  </si>
  <si>
    <t>Total Orders</t>
  </si>
  <si>
    <t>Top Selling Product</t>
  </si>
  <si>
    <t>Indicates that Mouse is top selling product.</t>
  </si>
  <si>
    <t>Sales by Product (Column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</si>
</sst>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0" x14ac:knownFonts="1">
    <font>
      <sz val="11"/>
      <color theme="1"/>
      <name val="Aptos Narrow"/>
      <family val="2"/>
      <scheme val="minor"/>
    </font>
    <font>
      <b/>
      <sz val="11"/>
      <color theme="1"/>
      <name val="Aptos Narrow"/>
      <family val="2"/>
      <scheme val="minor"/>
    </font>
    <font>
      <b/>
      <sz val="11"/>
      <color theme="0"/>
      <name val="Calibri"/>
      <family val="2"/>
    </font>
    <font>
      <sz val="11"/>
      <color theme="1"/>
      <name val="Calibri"/>
      <family val="2"/>
    </font>
    <font>
      <sz val="11"/>
      <color theme="1"/>
      <name val="Aptos Narrow"/>
      <family val="2"/>
      <scheme val="minor"/>
    </font>
    <font>
      <b/>
      <sz val="12"/>
      <color theme="4"/>
      <name val="Calibri"/>
      <family val="2"/>
    </font>
    <font>
      <sz val="12"/>
      <color theme="1"/>
      <name val="Calibri"/>
      <family val="2"/>
    </font>
    <font>
      <b/>
      <sz val="18"/>
      <color theme="1"/>
      <name val="Calibri"/>
      <family val="2"/>
    </font>
    <font>
      <b/>
      <sz val="14"/>
      <color theme="1"/>
      <name val="Calibri"/>
      <family val="2"/>
    </font>
    <font>
      <sz val="14"/>
      <color theme="1"/>
      <name val="Calibri"/>
      <family val="2"/>
    </font>
  </fonts>
  <fills count="5">
    <fill>
      <patternFill patternType="none"/>
    </fill>
    <fill>
      <patternFill patternType="gray125"/>
    </fill>
    <fill>
      <patternFill patternType="solid">
        <fgColor theme="7"/>
        <bgColor theme="7"/>
      </patternFill>
    </fill>
    <fill>
      <patternFill patternType="solid">
        <fgColor theme="2"/>
        <bgColor indexed="64"/>
      </patternFill>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0" fillId="0" borderId="0"/>
    <xf numFmtId="44" fontId="4" fillId="0" borderId="0" applyFont="0" applyFill="0" applyBorder="0" applyAlignment="0" applyProtection="0"/>
  </cellStyleXfs>
  <cellXfs count="47">
    <xf numFmtId="0" fontId="0" fillId="0" borderId="0" xfId="0"/>
    <xf numFmtId="0" fontId="1" fillId="0" borderId="2" xfId="0" applyFont="1" applyBorder="1" applyAlignment="1">
      <alignment horizontal="center" vertical="top"/>
    </xf>
    <xf numFmtId="0" fontId="3" fillId="0" borderId="0" xfId="0" applyFont="1" applyAlignment="1">
      <alignment horizontal="left"/>
    </xf>
    <xf numFmtId="0" fontId="3" fillId="0" borderId="7" xfId="0" applyFont="1" applyBorder="1"/>
    <xf numFmtId="0" fontId="3" fillId="0" borderId="0" xfId="0" applyFont="1"/>
    <xf numFmtId="0" fontId="3" fillId="0" borderId="9" xfId="0" applyFont="1" applyBorder="1"/>
    <xf numFmtId="14" fontId="1" fillId="0" borderId="2"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0" fillId="0" borderId="0" xfId="0" applyNumberFormat="1" applyAlignment="1">
      <alignment horizontal="left"/>
    </xf>
    <xf numFmtId="0" fontId="5" fillId="4" borderId="13" xfId="0" applyFont="1" applyFill="1" applyBorder="1" applyAlignment="1">
      <alignment horizontal="left"/>
    </xf>
    <xf numFmtId="0" fontId="5" fillId="4" borderId="14" xfId="0" applyFont="1" applyFill="1" applyBorder="1" applyAlignment="1">
      <alignment horizontal="left"/>
    </xf>
    <xf numFmtId="0" fontId="5" fillId="4" borderId="17" xfId="0" applyFont="1" applyFill="1" applyBorder="1" applyAlignment="1">
      <alignment horizontal="left"/>
    </xf>
    <xf numFmtId="0" fontId="3" fillId="3" borderId="0" xfId="0" applyFont="1" applyFill="1"/>
    <xf numFmtId="0" fontId="3" fillId="3" borderId="0" xfId="0" applyFont="1" applyFill="1" applyAlignment="1">
      <alignment horizontal="right"/>
    </xf>
    <xf numFmtId="44" fontId="3" fillId="3" borderId="0" xfId="1" applyFont="1" applyFill="1"/>
    <xf numFmtId="0" fontId="6" fillId="4" borderId="14" xfId="0" applyFont="1" applyFill="1" applyBorder="1" applyAlignment="1">
      <alignment horizontal="left" indent="1"/>
    </xf>
    <xf numFmtId="0" fontId="5" fillId="4" borderId="15"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3" xfId="0" applyFont="1" applyFill="1" applyBorder="1" applyAlignment="1">
      <alignment horizontal="left" vertical="center"/>
    </xf>
    <xf numFmtId="0" fontId="6" fillId="3" borderId="0" xfId="0" applyFont="1" applyFill="1"/>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3" fillId="0" borderId="6" xfId="0" applyFont="1" applyBorder="1" applyAlignment="1">
      <alignment horizontal="left"/>
    </xf>
    <xf numFmtId="0" fontId="3" fillId="0" borderId="3" xfId="0" applyFont="1" applyBorder="1" applyAlignment="1">
      <alignment horizontal="left"/>
    </xf>
    <xf numFmtId="0" fontId="3" fillId="0" borderId="8" xfId="0" applyFont="1" applyBorder="1" applyAlignment="1">
      <alignment horizontal="left"/>
    </xf>
    <xf numFmtId="0" fontId="3" fillId="0" borderId="0" xfId="0" applyFont="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0" fontId="0" fillId="0" borderId="0" xfId="0" applyNumberFormat="1"/>
    <xf numFmtId="0" fontId="0" fillId="0" borderId="1" xfId="0" applyNumberFormat="1" applyBorder="1"/>
    <xf numFmtId="0" fontId="0" fillId="0" borderId="1" xfId="0" applyBorder="1" applyAlignment="1">
      <alignment horizontal="left" vertical="center"/>
    </xf>
    <xf numFmtId="0" fontId="7" fillId="0" borderId="0" xfId="0" applyFont="1" applyAlignment="1">
      <alignment vertical="center"/>
    </xf>
    <xf numFmtId="0" fontId="5" fillId="4" borderId="18" xfId="0" applyNumberFormat="1" applyFont="1" applyFill="1" applyBorder="1" applyAlignment="1">
      <alignment horizontal="center"/>
    </xf>
    <xf numFmtId="0" fontId="5" fillId="4" borderId="17" xfId="0" applyNumberFormat="1" applyFont="1" applyFill="1" applyBorder="1" applyAlignment="1">
      <alignment horizontal="center"/>
    </xf>
    <xf numFmtId="0" fontId="6" fillId="4" borderId="13" xfId="0" applyNumberFormat="1" applyFont="1" applyFill="1" applyBorder="1"/>
    <xf numFmtId="0" fontId="6" fillId="4" borderId="15" xfId="0" applyNumberFormat="1" applyFont="1" applyFill="1" applyBorder="1"/>
    <xf numFmtId="0" fontId="6" fillId="4" borderId="14" xfId="0" applyNumberFormat="1" applyFont="1" applyFill="1" applyBorder="1" applyAlignment="1">
      <alignment horizontal="center"/>
    </xf>
    <xf numFmtId="0" fontId="6" fillId="4" borderId="16" xfId="0" applyNumberFormat="1" applyFont="1" applyFill="1" applyBorder="1" applyAlignment="1">
      <alignment horizontal="center"/>
    </xf>
    <xf numFmtId="0" fontId="6" fillId="4" borderId="14" xfId="0" applyNumberFormat="1" applyFont="1" applyFill="1" applyBorder="1"/>
    <xf numFmtId="0" fontId="6" fillId="4" borderId="16" xfId="0" applyNumberFormat="1" applyFont="1" applyFill="1" applyBorder="1"/>
    <xf numFmtId="0" fontId="8" fillId="0" borderId="0" xfId="0" applyFont="1" applyAlignment="1">
      <alignment vertical="center"/>
    </xf>
    <xf numFmtId="0" fontId="9" fillId="0" borderId="0" xfId="0" applyFont="1"/>
  </cellXfs>
  <cellStyles count="2">
    <cellStyle name="Currency" xfId="1" builtinId="4"/>
    <cellStyle name="Normal" xfId="0" builtinId="0"/>
  </cellStyles>
  <dxfs count="823">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font>
        <color theme="4"/>
      </font>
    </dxf>
    <dxf>
      <font>
        <color theme="4"/>
      </font>
    </dxf>
    <dxf>
      <font>
        <color theme="4"/>
      </font>
    </dxf>
    <dxf>
      <font>
        <color theme="4"/>
      </font>
    </dxf>
    <dxf>
      <font>
        <color theme="4"/>
      </font>
    </dxf>
    <dxf>
      <font>
        <color theme="4"/>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name val="Calibri"/>
        <scheme val="none"/>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b/>
      </font>
    </dxf>
    <dxf>
      <font>
        <b/>
      </font>
    </dxf>
    <dxf>
      <font>
        <color theme="4"/>
      </font>
    </dxf>
    <dxf>
      <font>
        <color theme="4"/>
      </font>
    </dxf>
    <dxf>
      <font>
        <name val="Calibri"/>
        <scheme val="none"/>
      </font>
    </dxf>
    <dxf>
      <font>
        <name val="Calibri"/>
        <scheme val="none"/>
      </font>
    </dxf>
    <dxf>
      <font>
        <b/>
      </font>
    </dxf>
    <dxf>
      <font>
        <b/>
      </font>
    </dxf>
    <dxf>
      <font>
        <name val="Calibri"/>
        <scheme val="none"/>
      </font>
    </dxf>
    <dxf>
      <font>
        <name val="Calibri"/>
        <scheme val="none"/>
      </font>
    </dxf>
    <dxf>
      <font>
        <sz val="12"/>
      </font>
    </dxf>
    <dxf>
      <font>
        <sz val="12"/>
      </font>
    </dxf>
    <dxf>
      <font>
        <color theme="4"/>
      </font>
    </dxf>
    <dxf>
      <font>
        <color theme="4"/>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vertical="center"/>
    </dxf>
    <dxf>
      <alignment vertical="center"/>
    </dxf>
    <dxf>
      <alignment horizont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alignment horizontal="center"/>
    </dxf>
    <dxf>
      <alignment vertical="center"/>
    </dxf>
    <dxf>
      <numFmt numFmtId="164" formatCode="_(&quot;$&quot;* #,##0_);_(&quot;$&quot;* \(#,##0\);_(&quot;$&quot;* &quot;-&quot;??_);_(@_)"/>
    </dxf>
    <dxf>
      <alignment horizontal="left"/>
    </dxf>
    <dxf>
      <alignment horizontal="left"/>
    </dxf>
    <dxf>
      <alignment horizontal="left"/>
    </dxf>
    <dxf>
      <alignment vertical="center"/>
    </dxf>
    <dxf>
      <alignment horizontal="center"/>
    </dxf>
    <dxf>
      <alignment vertical="center"/>
    </dxf>
    <dxf>
      <alignment vertic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color theme="4"/>
      </font>
    </dxf>
    <dxf>
      <font>
        <color theme="4"/>
      </font>
    </dxf>
    <dxf>
      <font>
        <sz val="12"/>
      </font>
    </dxf>
    <dxf>
      <font>
        <sz val="12"/>
      </font>
    </dxf>
    <dxf>
      <font>
        <name val="Calibri"/>
        <scheme val="none"/>
      </font>
    </dxf>
    <dxf>
      <font>
        <name val="Calibri"/>
        <scheme val="none"/>
      </font>
    </dxf>
    <dxf>
      <font>
        <b/>
      </font>
    </dxf>
    <dxf>
      <font>
        <b/>
      </font>
    </dxf>
    <dxf>
      <font>
        <name val="Calibri"/>
        <scheme val="none"/>
      </font>
    </dxf>
    <dxf>
      <font>
        <name val="Calibri"/>
        <scheme val="none"/>
      </font>
    </dxf>
    <dxf>
      <font>
        <color theme="4"/>
      </font>
    </dxf>
    <dxf>
      <font>
        <color theme="4"/>
      </font>
    </dxf>
    <dxf>
      <font>
        <b/>
      </font>
    </dxf>
    <dxf>
      <font>
        <b/>
      </font>
    </dxf>
    <dxf>
      <font>
        <sz val="12"/>
      </font>
    </dxf>
    <dxf>
      <font>
        <sz val="12"/>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bri"/>
        <scheme val="none"/>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color theme="4"/>
      </font>
    </dxf>
    <dxf>
      <font>
        <color theme="4"/>
      </font>
    </dxf>
    <dxf>
      <font>
        <color theme="4"/>
      </font>
    </dxf>
    <dxf>
      <font>
        <color theme="4"/>
      </font>
    </dxf>
    <dxf>
      <font>
        <color theme="4"/>
      </font>
    </dxf>
    <dxf>
      <font>
        <color theme="4"/>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alignment vertical="center"/>
    </dxf>
    <dxf>
      <alignment horizontal="cent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F455D"/>
      <color rgb="FF166588"/>
      <color rgb="FF0E4056"/>
      <color rgb="FF1A759E"/>
      <color rgb="FF135573"/>
      <color rgb="FF000000"/>
      <color rgb="FF0606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Calibri" panose="020F0502020204030204" pitchFamily="34" charset="0"/>
                <a:cs typeface="Calibri" panose="020F0502020204030204" pitchFamily="34" charset="0"/>
              </a:rPr>
              <a:t>Sales Distribution by Category</a:t>
            </a:r>
          </a:p>
        </c:rich>
      </c:tx>
      <c:layout>
        <c:manualLayout>
          <c:xMode val="edge"/>
          <c:yMode val="edge"/>
          <c:x val="0.11340025110653144"/>
          <c:y val="1.2254730494835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F455D"/>
          </a:solidFill>
          <a:ln w="19050">
            <a:solidFill>
              <a:schemeClr val="lt1"/>
            </a:solidFill>
          </a:ln>
          <a:effectLst/>
        </c:spPr>
        <c:dLbl>
          <c:idx val="0"/>
          <c:layout>
            <c:manualLayout>
              <c:x val="-0.23307569001579875"/>
              <c:y val="0.1430994457603972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857851272212876"/>
                  <c:h val="0.20253715336580277"/>
                </c:manualLayout>
              </c15:layout>
            </c:ext>
          </c:extLst>
        </c:dLbl>
      </c:pivotFmt>
      <c:pivotFmt>
        <c:idx val="6"/>
        <c:spPr>
          <a:solidFill>
            <a:schemeClr val="accent1"/>
          </a:solidFill>
          <a:ln w="19050">
            <a:solidFill>
              <a:schemeClr val="lt1"/>
            </a:solidFill>
          </a:ln>
          <a:effectLst/>
        </c:spPr>
        <c:dLbl>
          <c:idx val="0"/>
          <c:layout>
            <c:manualLayout>
              <c:x val="0.13206678089943899"/>
              <c:y val="-0.1570772634890301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141260849941214"/>
                  <c:h val="0.30639269810820402"/>
                </c:manualLayout>
              </c15:layout>
            </c:ext>
          </c:extLst>
        </c:dLbl>
      </c:pivotFmt>
    </c:pivotFmts>
    <c:plotArea>
      <c:layout>
        <c:manualLayout>
          <c:layoutTarget val="inner"/>
          <c:xMode val="edge"/>
          <c:yMode val="edge"/>
          <c:x val="0.19305159230588773"/>
          <c:y val="0.19795495527743054"/>
          <c:w val="0.55456314411960894"/>
          <c:h val="0.77252596400717555"/>
        </c:manualLayout>
      </c:layout>
      <c:pieChart>
        <c:varyColors val="1"/>
        <c:ser>
          <c:idx val="0"/>
          <c:order val="0"/>
          <c:tx>
            <c:strRef>
              <c:f>'Pivot Tables'!$M$9</c:f>
              <c:strCache>
                <c:ptCount val="1"/>
                <c:pt idx="0">
                  <c:v>Total</c:v>
                </c:pt>
              </c:strCache>
            </c:strRef>
          </c:tx>
          <c:dPt>
            <c:idx val="0"/>
            <c:bubble3D val="0"/>
            <c:spPr>
              <a:solidFill>
                <a:srgbClr val="0F455D"/>
              </a:solidFill>
              <a:ln w="19050">
                <a:solidFill>
                  <a:schemeClr val="lt1"/>
                </a:solidFill>
              </a:ln>
              <a:effectLst/>
            </c:spPr>
            <c:extLst>
              <c:ext xmlns:c16="http://schemas.microsoft.com/office/drawing/2014/chart" uri="{C3380CC4-5D6E-409C-BE32-E72D297353CC}">
                <c16:uniqueId val="{00000001-869C-4525-B650-DED9BACD864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69C-4525-B650-DED9BACD864D}"/>
              </c:ext>
            </c:extLst>
          </c:dPt>
          <c:dLbls>
            <c:dLbl>
              <c:idx val="0"/>
              <c:layout>
                <c:manualLayout>
                  <c:x val="-0.23307569001579875"/>
                  <c:y val="0.1430994457603972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857851272212876"/>
                      <c:h val="0.20253715336580277"/>
                    </c:manualLayout>
                  </c15:layout>
                </c:ext>
                <c:ext xmlns:c16="http://schemas.microsoft.com/office/drawing/2014/chart" uri="{C3380CC4-5D6E-409C-BE32-E72D297353CC}">
                  <c16:uniqueId val="{00000001-869C-4525-B650-DED9BACD864D}"/>
                </c:ext>
              </c:extLst>
            </c:dLbl>
            <c:dLbl>
              <c:idx val="1"/>
              <c:layout>
                <c:manualLayout>
                  <c:x val="0.13206678089943899"/>
                  <c:y val="-0.1570772634890301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2141260849941214"/>
                      <c:h val="0.30639269810820402"/>
                    </c:manualLayout>
                  </c15:layout>
                </c:ext>
                <c:ext xmlns:c16="http://schemas.microsoft.com/office/drawing/2014/chart" uri="{C3380CC4-5D6E-409C-BE32-E72D297353CC}">
                  <c16:uniqueId val="{00000003-869C-4525-B650-DED9BACD864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Tables'!$L$10:$L$12</c:f>
              <c:strCache>
                <c:ptCount val="2"/>
                <c:pt idx="0">
                  <c:v>Accessories</c:v>
                </c:pt>
                <c:pt idx="1">
                  <c:v>Electronics</c:v>
                </c:pt>
              </c:strCache>
            </c:strRef>
          </c:cat>
          <c:val>
            <c:numRef>
              <c:f>'Pivot Tables'!$M$10:$M$12</c:f>
              <c:numCache>
                <c:formatCode>General</c:formatCode>
                <c:ptCount val="2"/>
                <c:pt idx="0">
                  <c:v>51066</c:v>
                </c:pt>
                <c:pt idx="1">
                  <c:v>89234</c:v>
                </c:pt>
              </c:numCache>
            </c:numRef>
          </c:val>
          <c:extLst>
            <c:ext xmlns:c16="http://schemas.microsoft.com/office/drawing/2014/chart" uri="{C3380CC4-5D6E-409C-BE32-E72D297353CC}">
              <c16:uniqueId val="{00000004-869C-4525-B650-DED9BACD864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[Day3_Dashboard_SumyaMateen.xlsx]Pivot Tables!PivotTable5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accent1"/>
                </a:solidFill>
                <a:latin typeface="Calibri" panose="020F0502020204030204" pitchFamily="34" charset="0"/>
                <a:cs typeface="Calibri" panose="020F0502020204030204" pitchFamily="34" charset="0"/>
              </a:rPr>
              <a:t>Sales</a:t>
            </a:r>
            <a:r>
              <a:rPr lang="en-US" sz="1600" b="1" baseline="0">
                <a:solidFill>
                  <a:schemeClr val="accent1"/>
                </a:solidFill>
                <a:latin typeface="Calibri" panose="020F0502020204030204" pitchFamily="34" charset="0"/>
                <a:cs typeface="Calibri" panose="020F0502020204030204" pitchFamily="34" charset="0"/>
              </a:rPr>
              <a:t> By Product</a:t>
            </a:r>
            <a:endParaRPr lang="en-US" sz="1600" b="1">
              <a:solidFill>
                <a:schemeClr val="accent1"/>
              </a:solidFill>
              <a:latin typeface="Calibri" panose="020F0502020204030204" pitchFamily="34" charset="0"/>
              <a:cs typeface="Calibri" panose="020F0502020204030204" pitchFamily="34" charset="0"/>
            </a:endParaRPr>
          </a:p>
        </c:rich>
      </c:tx>
      <c:layout>
        <c:manualLayout>
          <c:xMode val="edge"/>
          <c:yMode val="edge"/>
          <c:x val="0.27949316918090156"/>
          <c:y val="4.6293798809737673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1109192098875"/>
          <c:y val="0.22326031045554603"/>
          <c:w val="0.81853320874887969"/>
          <c:h val="0.62855998926763623"/>
        </c:manualLayout>
      </c:layout>
      <c:barChart>
        <c:barDir val="col"/>
        <c:grouping val="clustered"/>
        <c:varyColors val="0"/>
        <c:ser>
          <c:idx val="0"/>
          <c:order val="0"/>
          <c:tx>
            <c:strRef>
              <c:f>'Pivot Tables'!$C$19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Tables'!$B$20:$B$25</c:f>
              <c:strCache>
                <c:ptCount val="5"/>
                <c:pt idx="0">
                  <c:v>Keyboard</c:v>
                </c:pt>
                <c:pt idx="1">
                  <c:v>Laptop</c:v>
                </c:pt>
                <c:pt idx="2">
                  <c:v>Printer</c:v>
                </c:pt>
                <c:pt idx="3">
                  <c:v>Monitor</c:v>
                </c:pt>
                <c:pt idx="4">
                  <c:v>Mouse</c:v>
                </c:pt>
              </c:strCache>
            </c:strRef>
          </c:cat>
          <c:val>
            <c:numRef>
              <c:f>'Pivot Tables'!$C$20:$C$25</c:f>
              <c:numCache>
                <c:formatCode>General</c:formatCode>
                <c:ptCount val="5"/>
                <c:pt idx="0">
                  <c:v>14570</c:v>
                </c:pt>
                <c:pt idx="1">
                  <c:v>25712</c:v>
                </c:pt>
                <c:pt idx="2">
                  <c:v>30863</c:v>
                </c:pt>
                <c:pt idx="3">
                  <c:v>31332</c:v>
                </c:pt>
                <c:pt idx="4">
                  <c:v>37823</c:v>
                </c:pt>
              </c:numCache>
            </c:numRef>
          </c:val>
          <c:extLst>
            <c:ext xmlns:c16="http://schemas.microsoft.com/office/drawing/2014/chart" uri="{C3380CC4-5D6E-409C-BE32-E72D297353CC}">
              <c16:uniqueId val="{00000000-7A9D-4CB9-A35F-B0818B2E74F1}"/>
            </c:ext>
          </c:extLst>
        </c:ser>
        <c:dLbls>
          <c:dLblPos val="outEnd"/>
          <c:showLegendKey val="0"/>
          <c:showVal val="1"/>
          <c:showCatName val="0"/>
          <c:showSerName val="0"/>
          <c:showPercent val="0"/>
          <c:showBubbleSize val="0"/>
        </c:dLbls>
        <c:gapWidth val="219"/>
        <c:overlap val="-27"/>
        <c:axId val="2018788688"/>
        <c:axId val="2018775248"/>
      </c:barChart>
      <c:catAx>
        <c:axId val="20187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18775248"/>
        <c:crosses val="autoZero"/>
        <c:auto val="1"/>
        <c:lblAlgn val="ctr"/>
        <c:lblOffset val="100"/>
        <c:noMultiLvlLbl val="0"/>
      </c:catAx>
      <c:valAx>
        <c:axId val="201877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1878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[Day3_Dashboard_SumyaMateen.xlsx]Pivot Tables!PivotTable9</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600" b="1" i="0" u="none" strike="noStrike" kern="1200" spc="0" baseline="0">
                <a:solidFill>
                  <a:schemeClr val="accent1"/>
                </a:solidFill>
                <a:latin typeface="Calibri" panose="020F0502020204030204" pitchFamily="34" charset="0"/>
                <a:cs typeface="Calibri" panose="020F0502020204030204" pitchFamily="34" charset="0"/>
              </a:rPr>
              <a:t>Sales Over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38980107888106968"/>
          <c:y val="5.925925925925925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37803846991382E-2"/>
          <c:y val="0.16167419072615924"/>
          <c:w val="0.87862580216690656"/>
          <c:h val="0.53662525517643633"/>
        </c:manualLayout>
      </c:layout>
      <c:lineChart>
        <c:grouping val="standard"/>
        <c:varyColors val="0"/>
        <c:ser>
          <c:idx val="0"/>
          <c:order val="0"/>
          <c:tx>
            <c:strRef>
              <c:f>'Pivot Tables'!$F$19</c:f>
              <c:strCache>
                <c:ptCount val="1"/>
                <c:pt idx="0">
                  <c:v>Total</c:v>
                </c:pt>
              </c:strCache>
            </c:strRef>
          </c:tx>
          <c:spPr>
            <a:ln w="28575" cap="rnd">
              <a:solidFill>
                <a:schemeClr val="accent1"/>
              </a:solidFill>
              <a:round/>
            </a:ln>
            <a:effectLst/>
          </c:spPr>
          <c:marker>
            <c:symbol val="none"/>
          </c:marker>
          <c:cat>
            <c:strRef>
              <c:f>'Pivot Tables'!$E$20:$E$70</c:f>
              <c:strCache>
                <c:ptCount val="50"/>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strCache>
            </c:strRef>
          </c:cat>
          <c:val>
            <c:numRef>
              <c:f>'Pivot Tables'!$F$20:$F$70</c:f>
              <c:numCache>
                <c:formatCode>General</c:formatCode>
                <c:ptCount val="50"/>
                <c:pt idx="0">
                  <c:v>2775</c:v>
                </c:pt>
                <c:pt idx="1">
                  <c:v>1382</c:v>
                </c:pt>
                <c:pt idx="2">
                  <c:v>809</c:v>
                </c:pt>
                <c:pt idx="3">
                  <c:v>4844</c:v>
                </c:pt>
                <c:pt idx="4">
                  <c:v>4513</c:v>
                </c:pt>
                <c:pt idx="5">
                  <c:v>2806</c:v>
                </c:pt>
                <c:pt idx="6">
                  <c:v>4879</c:v>
                </c:pt>
                <c:pt idx="7">
                  <c:v>763</c:v>
                </c:pt>
                <c:pt idx="8">
                  <c:v>2098</c:v>
                </c:pt>
                <c:pt idx="9">
                  <c:v>3545</c:v>
                </c:pt>
                <c:pt idx="10">
                  <c:v>3843</c:v>
                </c:pt>
                <c:pt idx="11">
                  <c:v>1595</c:v>
                </c:pt>
                <c:pt idx="12">
                  <c:v>3404</c:v>
                </c:pt>
                <c:pt idx="13">
                  <c:v>3863</c:v>
                </c:pt>
                <c:pt idx="14">
                  <c:v>1953</c:v>
                </c:pt>
                <c:pt idx="15">
                  <c:v>4759</c:v>
                </c:pt>
                <c:pt idx="16">
                  <c:v>1391</c:v>
                </c:pt>
                <c:pt idx="17">
                  <c:v>3681</c:v>
                </c:pt>
                <c:pt idx="18">
                  <c:v>3557</c:v>
                </c:pt>
                <c:pt idx="19">
                  <c:v>1736</c:v>
                </c:pt>
                <c:pt idx="20">
                  <c:v>3796</c:v>
                </c:pt>
                <c:pt idx="21">
                  <c:v>3099</c:v>
                </c:pt>
                <c:pt idx="22">
                  <c:v>3252</c:v>
                </c:pt>
                <c:pt idx="23">
                  <c:v>798</c:v>
                </c:pt>
                <c:pt idx="24">
                  <c:v>2260</c:v>
                </c:pt>
                <c:pt idx="25">
                  <c:v>4197</c:v>
                </c:pt>
                <c:pt idx="26">
                  <c:v>4837</c:v>
                </c:pt>
                <c:pt idx="27">
                  <c:v>954</c:v>
                </c:pt>
                <c:pt idx="28">
                  <c:v>3574</c:v>
                </c:pt>
                <c:pt idx="29">
                  <c:v>1807</c:v>
                </c:pt>
                <c:pt idx="30">
                  <c:v>2877</c:v>
                </c:pt>
                <c:pt idx="31">
                  <c:v>1833</c:v>
                </c:pt>
                <c:pt idx="32">
                  <c:v>3610</c:v>
                </c:pt>
                <c:pt idx="33">
                  <c:v>302</c:v>
                </c:pt>
                <c:pt idx="34">
                  <c:v>3355</c:v>
                </c:pt>
                <c:pt idx="35">
                  <c:v>4318</c:v>
                </c:pt>
                <c:pt idx="36">
                  <c:v>4596</c:v>
                </c:pt>
                <c:pt idx="37">
                  <c:v>866</c:v>
                </c:pt>
                <c:pt idx="38">
                  <c:v>4489</c:v>
                </c:pt>
                <c:pt idx="39">
                  <c:v>2427</c:v>
                </c:pt>
                <c:pt idx="40">
                  <c:v>3031</c:v>
                </c:pt>
                <c:pt idx="41">
                  <c:v>297</c:v>
                </c:pt>
                <c:pt idx="42">
                  <c:v>2030</c:v>
                </c:pt>
                <c:pt idx="43">
                  <c:v>3682</c:v>
                </c:pt>
                <c:pt idx="44">
                  <c:v>708</c:v>
                </c:pt>
                <c:pt idx="45">
                  <c:v>3372</c:v>
                </c:pt>
                <c:pt idx="46">
                  <c:v>1247</c:v>
                </c:pt>
                <c:pt idx="47">
                  <c:v>4382</c:v>
                </c:pt>
                <c:pt idx="48">
                  <c:v>3497</c:v>
                </c:pt>
                <c:pt idx="49">
                  <c:v>2611</c:v>
                </c:pt>
              </c:numCache>
            </c:numRef>
          </c:val>
          <c:smooth val="0"/>
          <c:extLst>
            <c:ext xmlns:c16="http://schemas.microsoft.com/office/drawing/2014/chart" uri="{C3380CC4-5D6E-409C-BE32-E72D297353CC}">
              <c16:uniqueId val="{00000000-5EB8-4804-BF11-65B210C65F26}"/>
            </c:ext>
          </c:extLst>
        </c:ser>
        <c:dLbls>
          <c:showLegendKey val="0"/>
          <c:showVal val="0"/>
          <c:showCatName val="0"/>
          <c:showSerName val="0"/>
          <c:showPercent val="0"/>
          <c:showBubbleSize val="0"/>
        </c:dLbls>
        <c:smooth val="0"/>
        <c:axId val="1901442688"/>
        <c:axId val="1901461408"/>
      </c:lineChart>
      <c:catAx>
        <c:axId val="19014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1461408"/>
        <c:crosses val="autoZero"/>
        <c:auto val="1"/>
        <c:lblAlgn val="ctr"/>
        <c:lblOffset val="100"/>
        <c:noMultiLvlLbl val="0"/>
      </c:catAx>
      <c:valAx>
        <c:axId val="190146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144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104774</xdr:colOff>
      <xdr:row>4</xdr:row>
      <xdr:rowOff>133350</xdr:rowOff>
    </xdr:from>
    <xdr:to>
      <xdr:col>3</xdr:col>
      <xdr:colOff>923924</xdr:colOff>
      <xdr:row>7</xdr:row>
      <xdr:rowOff>85725</xdr:rowOff>
    </xdr:to>
    <xdr:sp macro="" textlink="">
      <xdr:nvSpPr>
        <xdr:cNvPr id="2" name="TextBox 1">
          <a:extLst>
            <a:ext uri="{FF2B5EF4-FFF2-40B4-BE49-F238E27FC236}">
              <a16:creationId xmlns:a16="http://schemas.microsoft.com/office/drawing/2014/main" id="{406D196D-7C4D-975C-6B14-CD89A0D62003}"/>
            </a:ext>
          </a:extLst>
        </xdr:cNvPr>
        <xdr:cNvSpPr txBox="1"/>
      </xdr:nvSpPr>
      <xdr:spPr>
        <a:xfrm>
          <a:off x="2066924" y="1047750"/>
          <a:ext cx="13430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600075</xdr:colOff>
      <xdr:row>7</xdr:row>
      <xdr:rowOff>9526</xdr:rowOff>
    </xdr:to>
    <xdr:grpSp>
      <xdr:nvGrpSpPr>
        <xdr:cNvPr id="4" name="Group 3">
          <a:extLst>
            <a:ext uri="{FF2B5EF4-FFF2-40B4-BE49-F238E27FC236}">
              <a16:creationId xmlns:a16="http://schemas.microsoft.com/office/drawing/2014/main" id="{C93E1827-1B1E-D075-E21D-1E3BB39D3686}"/>
            </a:ext>
          </a:extLst>
        </xdr:cNvPr>
        <xdr:cNvGrpSpPr/>
      </xdr:nvGrpSpPr>
      <xdr:grpSpPr>
        <a:xfrm>
          <a:off x="611605" y="762000"/>
          <a:ext cx="1753102" cy="611105"/>
          <a:chOff x="609600" y="190500"/>
          <a:chExt cx="1819275" cy="676276"/>
        </a:xfrm>
        <a:solidFill>
          <a:schemeClr val="bg1"/>
        </a:solidFill>
        <a:effectLst>
          <a:outerShdw blurRad="50800" dist="38100" dir="2700000" algn="tl" rotWithShape="0">
            <a:prstClr val="black">
              <a:alpha val="40000"/>
            </a:prstClr>
          </a:outerShdw>
        </a:effectLst>
      </xdr:grpSpPr>
      <xdr:sp macro="" textlink="'Pivot Tables'!$B$4">
        <xdr:nvSpPr>
          <xdr:cNvPr id="2" name="Rectangle 1">
            <a:extLst>
              <a:ext uri="{FF2B5EF4-FFF2-40B4-BE49-F238E27FC236}">
                <a16:creationId xmlns:a16="http://schemas.microsoft.com/office/drawing/2014/main" id="{B4640FEE-2896-A62E-DD44-686B5F09B17E}"/>
              </a:ext>
            </a:extLst>
          </xdr:cNvPr>
          <xdr:cNvSpPr/>
        </xdr:nvSpPr>
        <xdr:spPr>
          <a:xfrm>
            <a:off x="609600" y="190500"/>
            <a:ext cx="1819275" cy="67627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B9D637-E9F2-49A8-B4EE-997362E94837}"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 $140,300 </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3" name="TextBox 2">
            <a:extLst>
              <a:ext uri="{FF2B5EF4-FFF2-40B4-BE49-F238E27FC236}">
                <a16:creationId xmlns:a16="http://schemas.microsoft.com/office/drawing/2014/main" id="{F9201F67-4DB4-48CC-98E3-1C76FB8AAD6E}"/>
              </a:ext>
            </a:extLst>
          </xdr:cNvPr>
          <xdr:cNvSpPr txBox="1"/>
        </xdr:nvSpPr>
        <xdr:spPr>
          <a:xfrm>
            <a:off x="619125" y="201186"/>
            <a:ext cx="1800225" cy="3466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Sales Amount</a:t>
            </a:r>
          </a:p>
        </xdr:txBody>
      </xdr:sp>
    </xdr:grpSp>
    <xdr:clientData/>
  </xdr:twoCellAnchor>
  <xdr:twoCellAnchor>
    <xdr:from>
      <xdr:col>4</xdr:col>
      <xdr:colOff>417738</xdr:colOff>
      <xdr:row>3</xdr:row>
      <xdr:rowOff>190952</xdr:rowOff>
    </xdr:from>
    <xdr:to>
      <xdr:col>7</xdr:col>
      <xdr:colOff>408214</xdr:colOff>
      <xdr:row>7</xdr:row>
      <xdr:rowOff>7711</xdr:rowOff>
    </xdr:to>
    <xdr:grpSp>
      <xdr:nvGrpSpPr>
        <xdr:cNvPr id="21" name="Group 20">
          <a:extLst>
            <a:ext uri="{FF2B5EF4-FFF2-40B4-BE49-F238E27FC236}">
              <a16:creationId xmlns:a16="http://schemas.microsoft.com/office/drawing/2014/main" id="{A7786177-421D-8C41-DE22-F17A4499E692}"/>
            </a:ext>
          </a:extLst>
        </xdr:cNvPr>
        <xdr:cNvGrpSpPr/>
      </xdr:nvGrpSpPr>
      <xdr:grpSpPr>
        <a:xfrm>
          <a:off x="2793975" y="762452"/>
          <a:ext cx="1825292" cy="608838"/>
          <a:chOff x="3057525" y="200025"/>
          <a:chExt cx="1819275" cy="581026"/>
        </a:xfrm>
        <a:solidFill>
          <a:schemeClr val="bg1"/>
        </a:solidFill>
        <a:effectLst>
          <a:outerShdw blurRad="50800" dist="38100" dir="2700000" algn="tl" rotWithShape="0">
            <a:prstClr val="black">
              <a:alpha val="40000"/>
            </a:prstClr>
          </a:outerShdw>
        </a:effectLst>
      </xdr:grpSpPr>
      <xdr:sp macro="" textlink="'Pivot Tables'!$D$4">
        <xdr:nvSpPr>
          <xdr:cNvPr id="19" name="Rectangle 18">
            <a:extLst>
              <a:ext uri="{FF2B5EF4-FFF2-40B4-BE49-F238E27FC236}">
                <a16:creationId xmlns:a16="http://schemas.microsoft.com/office/drawing/2014/main" id="{B6EE43BF-F6DD-051D-D98E-52E2E6CA1CD4}"/>
              </a:ext>
            </a:extLst>
          </xdr:cNvPr>
          <xdr:cNvSpPr/>
        </xdr:nvSpPr>
        <xdr:spPr>
          <a:xfrm>
            <a:off x="3057525" y="200025"/>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38BF81F-3BC7-4FB1-8B22-A4F16A79329A}"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251</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20" name="TextBox 19">
            <a:extLst>
              <a:ext uri="{FF2B5EF4-FFF2-40B4-BE49-F238E27FC236}">
                <a16:creationId xmlns:a16="http://schemas.microsoft.com/office/drawing/2014/main" id="{23BFE3B8-1546-925E-C23A-EA2C2F8EDF0E}"/>
              </a:ext>
            </a:extLst>
          </xdr:cNvPr>
          <xdr:cNvSpPr txBox="1"/>
        </xdr:nvSpPr>
        <xdr:spPr>
          <a:xfrm>
            <a:off x="3067050" y="209206"/>
            <a:ext cx="1800225" cy="2995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Quantity Sold</a:t>
            </a:r>
          </a:p>
        </xdr:txBody>
      </xdr:sp>
    </xdr:grpSp>
    <xdr:clientData/>
  </xdr:twoCellAnchor>
  <xdr:twoCellAnchor>
    <xdr:from>
      <xdr:col>8</xdr:col>
      <xdr:colOff>306161</xdr:colOff>
      <xdr:row>3</xdr:row>
      <xdr:rowOff>179614</xdr:rowOff>
    </xdr:from>
    <xdr:to>
      <xdr:col>11</xdr:col>
      <xdr:colOff>293915</xdr:colOff>
      <xdr:row>6</xdr:row>
      <xdr:rowOff>189141</xdr:rowOff>
    </xdr:to>
    <xdr:grpSp>
      <xdr:nvGrpSpPr>
        <xdr:cNvPr id="25" name="Group 24">
          <a:extLst>
            <a:ext uri="{FF2B5EF4-FFF2-40B4-BE49-F238E27FC236}">
              <a16:creationId xmlns:a16="http://schemas.microsoft.com/office/drawing/2014/main" id="{6D5C5D41-0024-86EA-CB15-75683CF86B8B}"/>
            </a:ext>
          </a:extLst>
        </xdr:cNvPr>
        <xdr:cNvGrpSpPr/>
      </xdr:nvGrpSpPr>
      <xdr:grpSpPr>
        <a:xfrm>
          <a:off x="5128819" y="751114"/>
          <a:ext cx="1822570" cy="601080"/>
          <a:chOff x="5486400" y="228600"/>
          <a:chExt cx="1819275" cy="581026"/>
        </a:xfrm>
        <a:solidFill>
          <a:schemeClr val="bg1"/>
        </a:solidFill>
        <a:effectLst>
          <a:outerShdw blurRad="50800" dist="38100" dir="2700000" algn="tl" rotWithShape="0">
            <a:prstClr val="black">
              <a:alpha val="40000"/>
            </a:prstClr>
          </a:outerShdw>
        </a:effectLst>
      </xdr:grpSpPr>
      <xdr:sp macro="" textlink="'Pivot Tables'!$F$4">
        <xdr:nvSpPr>
          <xdr:cNvPr id="23" name="Rectangle 22">
            <a:extLst>
              <a:ext uri="{FF2B5EF4-FFF2-40B4-BE49-F238E27FC236}">
                <a16:creationId xmlns:a16="http://schemas.microsoft.com/office/drawing/2014/main" id="{17135686-BDFC-6A3D-DC68-27E5A6576B6C}"/>
              </a:ext>
            </a:extLst>
          </xdr:cNvPr>
          <xdr:cNvSpPr/>
        </xdr:nvSpPr>
        <xdr:spPr>
          <a:xfrm>
            <a:off x="5486400" y="228600"/>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63A01EC-5263-45A3-8C37-23175F316A76}" type="TxLink">
              <a:rPr lang="en-US" sz="1600" b="0" i="0" u="none" strike="noStrike">
                <a:solidFill>
                  <a:schemeClr val="accent1"/>
                </a:solidFill>
                <a:latin typeface="Cambria Math" panose="02040503050406030204" pitchFamily="18" charset="0"/>
                <a:ea typeface="Cambria Math" panose="02040503050406030204" pitchFamily="18" charset="0"/>
                <a:cs typeface="Calibri" panose="020F0502020204030204" pitchFamily="34" charset="0"/>
              </a:rPr>
              <a:pPr algn="ctr"/>
              <a:t>50</a:t>
            </a:fld>
            <a:endParaRPr lang="en-US" sz="1600">
              <a:solidFill>
                <a:schemeClr val="accent1"/>
              </a:solidFill>
              <a:latin typeface="Cambria Math" panose="02040503050406030204" pitchFamily="18" charset="0"/>
              <a:ea typeface="Cambria Math" panose="02040503050406030204" pitchFamily="18" charset="0"/>
              <a:cs typeface="Calibri" panose="020F0502020204030204" pitchFamily="34" charset="0"/>
            </a:endParaRPr>
          </a:p>
        </xdr:txBody>
      </xdr:sp>
      <xdr:sp macro="" textlink="">
        <xdr:nvSpPr>
          <xdr:cNvPr id="24" name="TextBox 23">
            <a:extLst>
              <a:ext uri="{FF2B5EF4-FFF2-40B4-BE49-F238E27FC236}">
                <a16:creationId xmlns:a16="http://schemas.microsoft.com/office/drawing/2014/main" id="{29616AF7-E947-45DD-A964-B2D693AB8782}"/>
              </a:ext>
            </a:extLst>
          </xdr:cNvPr>
          <xdr:cNvSpPr txBox="1"/>
        </xdr:nvSpPr>
        <xdr:spPr>
          <a:xfrm>
            <a:off x="5495925" y="237781"/>
            <a:ext cx="1800225" cy="3103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Total Orders</a:t>
            </a:r>
          </a:p>
        </xdr:txBody>
      </xdr:sp>
    </xdr:grpSp>
    <xdr:clientData/>
  </xdr:twoCellAnchor>
  <xdr:twoCellAnchor>
    <xdr:from>
      <xdr:col>1</xdr:col>
      <xdr:colOff>0</xdr:colOff>
      <xdr:row>1</xdr:row>
      <xdr:rowOff>9525</xdr:rowOff>
    </xdr:from>
    <xdr:to>
      <xdr:col>19</xdr:col>
      <xdr:colOff>11339</xdr:colOff>
      <xdr:row>2</xdr:row>
      <xdr:rowOff>180975</xdr:rowOff>
    </xdr:to>
    <xdr:sp macro="" textlink="">
      <xdr:nvSpPr>
        <xdr:cNvPr id="29" name="TextBox 28">
          <a:extLst>
            <a:ext uri="{FF2B5EF4-FFF2-40B4-BE49-F238E27FC236}">
              <a16:creationId xmlns:a16="http://schemas.microsoft.com/office/drawing/2014/main" id="{C88791F8-4114-8E9B-DF13-86BA231B72F0}"/>
            </a:ext>
          </a:extLst>
        </xdr:cNvPr>
        <xdr:cNvSpPr txBox="1"/>
      </xdr:nvSpPr>
      <xdr:spPr>
        <a:xfrm>
          <a:off x="612321" y="202293"/>
          <a:ext cx="12847411" cy="364218"/>
        </a:xfrm>
        <a:prstGeom prst="rect">
          <a:avLst/>
        </a:prstGeom>
        <a:solidFill>
          <a:sysClr val="window" lastClr="FFFFF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solidFill>
              <a:latin typeface="Calibri" panose="020F0502020204030204" pitchFamily="34" charset="0"/>
              <a:cs typeface="Calibri" panose="020F0502020204030204" pitchFamily="34" charset="0"/>
            </a:rPr>
            <a:t>Sales</a:t>
          </a:r>
          <a:r>
            <a:rPr lang="en-US" sz="2400" b="1" baseline="0">
              <a:solidFill>
                <a:schemeClr val="accent1"/>
              </a:solidFill>
              <a:latin typeface="Calibri" panose="020F0502020204030204" pitchFamily="34" charset="0"/>
              <a:cs typeface="Calibri" panose="020F0502020204030204" pitchFamily="34" charset="0"/>
            </a:rPr>
            <a:t> Report Dashboard  </a:t>
          </a:r>
          <a:endParaRPr lang="en-US" sz="2400" b="1">
            <a:solidFill>
              <a:schemeClr val="accent1"/>
            </a:solidFill>
            <a:latin typeface="Calibri" panose="020F0502020204030204" pitchFamily="34" charset="0"/>
            <a:cs typeface="Calibri" panose="020F0502020204030204" pitchFamily="34" charset="0"/>
          </a:endParaRPr>
        </a:p>
      </xdr:txBody>
    </xdr:sp>
    <xdr:clientData/>
  </xdr:twoCellAnchor>
  <xdr:twoCellAnchor editAs="oneCell">
    <xdr:from>
      <xdr:col>1</xdr:col>
      <xdr:colOff>2954</xdr:colOff>
      <xdr:row>9</xdr:row>
      <xdr:rowOff>3127</xdr:rowOff>
    </xdr:from>
    <xdr:to>
      <xdr:col>3</xdr:col>
      <xdr:colOff>599326</xdr:colOff>
      <xdr:row>18</xdr:row>
      <xdr:rowOff>93451</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AC998423-B96D-B9F1-DCBB-BFA8DF4198F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470" y="1774982"/>
              <a:ext cx="1743469" cy="1938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149831</xdr:rowOff>
    </xdr:from>
    <xdr:to>
      <xdr:col>4</xdr:col>
      <xdr:colOff>1</xdr:colOff>
      <xdr:row>30</xdr:row>
      <xdr:rowOff>93452</xdr:rowOff>
    </xdr:to>
    <mc:AlternateContent xmlns:mc="http://schemas.openxmlformats.org/markup-compatibility/2006" xmlns:a14="http://schemas.microsoft.com/office/drawing/2010/main">
      <mc:Choice Requires="a14">
        <xdr:graphicFrame macro="">
          <xdr:nvGraphicFramePr>
            <xdr:cNvPr id="32" name="Product">
              <a:extLst>
                <a:ext uri="{FF2B5EF4-FFF2-40B4-BE49-F238E27FC236}">
                  <a16:creationId xmlns:a16="http://schemas.microsoft.com/office/drawing/2014/main" id="{B72C9A62-9E26-7656-159E-F5E2FC8B580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4516" y="3888137"/>
              <a:ext cx="1761614" cy="2181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235450</xdr:colOff>
      <xdr:row>8</xdr:row>
      <xdr:rowOff>160533</xdr:rowOff>
    </xdr:from>
    <xdr:to>
      <xdr:col>9</xdr:col>
      <xdr:colOff>85617</xdr:colOff>
      <xdr:row>19</xdr:row>
      <xdr:rowOff>10702</xdr:rowOff>
    </xdr:to>
    <xdr:graphicFrame macro="">
      <xdr:nvGraphicFramePr>
        <xdr:cNvPr id="5" name="Chart 4">
          <a:extLst>
            <a:ext uri="{FF2B5EF4-FFF2-40B4-BE49-F238E27FC236}">
              <a16:creationId xmlns:a16="http://schemas.microsoft.com/office/drawing/2014/main" id="{E8F585E9-956A-423A-A61E-93037BEDB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235451</xdr:colOff>
      <xdr:row>8</xdr:row>
      <xdr:rowOff>171237</xdr:rowOff>
    </xdr:from>
    <xdr:to>
      <xdr:col>15</xdr:col>
      <xdr:colOff>102054</xdr:colOff>
      <xdr:row>19</xdr:row>
      <xdr:rowOff>11340</xdr:rowOff>
    </xdr:to>
    <xdr:graphicFrame macro="">
      <xdr:nvGraphicFramePr>
        <xdr:cNvPr id="6" name="Chart 5">
          <a:extLst>
            <a:ext uri="{FF2B5EF4-FFF2-40B4-BE49-F238E27FC236}">
              <a16:creationId xmlns:a16="http://schemas.microsoft.com/office/drawing/2014/main" id="{1FD6CE78-531B-4EC5-A2B3-6652016CA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235451</xdr:colOff>
      <xdr:row>20</xdr:row>
      <xdr:rowOff>1</xdr:rowOff>
    </xdr:from>
    <xdr:to>
      <xdr:col>15</xdr:col>
      <xdr:colOff>124734</xdr:colOff>
      <xdr:row>30</xdr:row>
      <xdr:rowOff>93452</xdr:rowOff>
    </xdr:to>
    <xdr:graphicFrame macro="">
      <xdr:nvGraphicFramePr>
        <xdr:cNvPr id="8" name="Chart 7">
          <a:extLst>
            <a:ext uri="{FF2B5EF4-FFF2-40B4-BE49-F238E27FC236}">
              <a16:creationId xmlns:a16="http://schemas.microsoft.com/office/drawing/2014/main" id="{1297D717-4941-404F-9CE8-5556E20BF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102054</xdr:colOff>
      <xdr:row>3</xdr:row>
      <xdr:rowOff>190953</xdr:rowOff>
    </xdr:from>
    <xdr:to>
      <xdr:col>15</xdr:col>
      <xdr:colOff>101147</xdr:colOff>
      <xdr:row>7</xdr:row>
      <xdr:rowOff>7712</xdr:rowOff>
    </xdr:to>
    <xdr:grpSp>
      <xdr:nvGrpSpPr>
        <xdr:cNvPr id="9" name="Group 8">
          <a:extLst>
            <a:ext uri="{FF2B5EF4-FFF2-40B4-BE49-F238E27FC236}">
              <a16:creationId xmlns:a16="http://schemas.microsoft.com/office/drawing/2014/main" id="{87957C86-3BC4-5C2C-1C01-38C4951C71A8}"/>
            </a:ext>
          </a:extLst>
        </xdr:cNvPr>
        <xdr:cNvGrpSpPr/>
      </xdr:nvGrpSpPr>
      <xdr:grpSpPr>
        <a:xfrm>
          <a:off x="7371133" y="762453"/>
          <a:ext cx="1823882" cy="608838"/>
          <a:chOff x="5486400" y="228600"/>
          <a:chExt cx="1819275" cy="581026"/>
        </a:xfrm>
        <a:solidFill>
          <a:schemeClr val="bg1"/>
        </a:solidFill>
        <a:effectLst>
          <a:outerShdw blurRad="50800" dist="38100" dir="2700000" algn="tl" rotWithShape="0">
            <a:prstClr val="black">
              <a:alpha val="40000"/>
            </a:prstClr>
          </a:outerShdw>
        </a:effectLst>
      </xdr:grpSpPr>
      <xdr:sp macro="" textlink="'Pivot Tables'!$F$4">
        <xdr:nvSpPr>
          <xdr:cNvPr id="10" name="Rectangle 9">
            <a:extLst>
              <a:ext uri="{FF2B5EF4-FFF2-40B4-BE49-F238E27FC236}">
                <a16:creationId xmlns:a16="http://schemas.microsoft.com/office/drawing/2014/main" id="{6E986EFB-23EC-8525-804B-02B7627C946F}"/>
              </a:ext>
            </a:extLst>
          </xdr:cNvPr>
          <xdr:cNvSpPr/>
        </xdr:nvSpPr>
        <xdr:spPr>
          <a:xfrm>
            <a:off x="5486400" y="228600"/>
            <a:ext cx="1819275" cy="5810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0" i="0" u="none" strike="noStrike">
                <a:solidFill>
                  <a:schemeClr val="accent1"/>
                </a:solidFill>
                <a:latin typeface="Calibri" panose="020F0502020204030204" pitchFamily="34" charset="0"/>
                <a:cs typeface="Calibri" panose="020F0502020204030204" pitchFamily="34" charset="0"/>
              </a:rPr>
              <a:t>Mouse</a:t>
            </a:r>
            <a:endParaRPr lang="en-US" sz="1600">
              <a:solidFill>
                <a:schemeClr val="accent1"/>
              </a:solidFill>
              <a:latin typeface="Calibri" panose="020F0502020204030204" pitchFamily="34" charset="0"/>
              <a:cs typeface="Calibri" panose="020F0502020204030204" pitchFamily="34" charset="0"/>
            </a:endParaRPr>
          </a:p>
        </xdr:txBody>
      </xdr:sp>
      <xdr:sp macro="" textlink="">
        <xdr:nvSpPr>
          <xdr:cNvPr id="11" name="TextBox 10">
            <a:extLst>
              <a:ext uri="{FF2B5EF4-FFF2-40B4-BE49-F238E27FC236}">
                <a16:creationId xmlns:a16="http://schemas.microsoft.com/office/drawing/2014/main" id="{A99FB9C0-FE64-CFBB-A2A3-DF2A118D2157}"/>
              </a:ext>
            </a:extLst>
          </xdr:cNvPr>
          <xdr:cNvSpPr txBox="1"/>
        </xdr:nvSpPr>
        <xdr:spPr>
          <a:xfrm>
            <a:off x="5495925" y="237781"/>
            <a:ext cx="1800225" cy="2995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accent1"/>
                </a:solidFill>
                <a:latin typeface="Calibri" panose="020F0502020204030204" pitchFamily="34" charset="0"/>
                <a:cs typeface="Calibri" panose="020F0502020204030204" pitchFamily="34" charset="0"/>
              </a:rPr>
              <a:t>Top</a:t>
            </a:r>
            <a:r>
              <a:rPr lang="en-US" sz="1400" b="1" baseline="0">
                <a:solidFill>
                  <a:schemeClr val="accent1"/>
                </a:solidFill>
                <a:latin typeface="Calibri" panose="020F0502020204030204" pitchFamily="34" charset="0"/>
                <a:cs typeface="Calibri" panose="020F0502020204030204" pitchFamily="34" charset="0"/>
              </a:rPr>
              <a:t> Selling Product</a:t>
            </a:r>
            <a:endParaRPr lang="en-US" sz="1400" b="1">
              <a:solidFill>
                <a:schemeClr val="accent1"/>
              </a:solidFill>
              <a:latin typeface="Calibri" panose="020F0502020204030204" pitchFamily="34" charset="0"/>
              <a:cs typeface="Calibri" panose="020F0502020204030204" pitchFamily="34"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4814813" backgroundQuery="1" createdVersion="8" refreshedVersion="8" minRefreshableVersion="3" recordCount="0" supportSubquery="1" supportAdvancedDrill="1" xr:uid="{E67C75CF-6F4E-41DA-91DB-CA126247FD82}">
  <cacheSource type="external" connectionId="1"/>
  <cacheFields count="3">
    <cacheField name="[Table1_1].[Category].[Category]" caption="Category" numFmtId="0" hierarchy="12" level="1">
      <sharedItems count="2">
        <s v="Accessories"/>
        <s v="Electronics"/>
      </sharedItems>
    </cacheField>
    <cacheField name="[Measures].[Sum of Sales Amount 2]" caption="Sum of Sales Amount 2" numFmtId="0" hierarchy="28"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5393521" backgroundQuery="1" createdVersion="8" refreshedVersion="8" minRefreshableVersion="3" recordCount="0" supportSubquery="1" supportAdvancedDrill="1" xr:uid="{C8C7D405-127E-491F-85C7-1C19216E71E6}">
  <cacheSource type="external" connectionId="1"/>
  <cacheFields count="2">
    <cacheField name="[Measures].[Sum of Sales Amount]" caption="Sum of Sales Amount" numFmtId="0" hierarchy="23"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6435183" backgroundQuery="1" createdVersion="8" refreshedVersion="8" minRefreshableVersion="3" recordCount="0" supportSubquery="1" supportAdvancedDrill="1" xr:uid="{5D6C959A-C527-420C-9AC2-DBE3348D7ADB}">
  <cacheSource type="external" connectionId="1"/>
  <cacheFields count="3">
    <cacheField name="[Table1].[Salesperson].[Salesperson]" caption="Salesperson" numFmtId="0" hierarchy="8" level="1">
      <sharedItems count="4">
        <s v="Alice"/>
        <s v="John"/>
        <s v="Robert"/>
        <s v="Sophia"/>
      </sharedItems>
    </cacheField>
    <cacheField name="[Measures].[Sum of Quantity]" caption="Sum of Quantity" numFmtId="0" hierarchy="24"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7013891" backgroundQuery="1" createdVersion="8" refreshedVersion="8" minRefreshableVersion="3" recordCount="0" supportSubquery="1" supportAdvancedDrill="1" xr:uid="{8A017FE6-4250-456F-96F1-DC208ABEC519}">
  <cacheSource type="external" connectionId="1"/>
  <cacheFields count="4">
    <cacheField name="[Table1].[Salesperson].[Salesperson]" caption="Salesperson" numFmtId="0" hierarchy="8" level="1">
      <sharedItems count="4">
        <s v="Alice"/>
        <s v="John"/>
        <s v="Robert"/>
        <s v="Sophia"/>
      </sharedItems>
    </cacheField>
    <cacheField name="[Measures].[Sum of Sales Amount]" caption="Sum of Sales Amount" numFmtId="0" hierarchy="23" level="32767"/>
    <cacheField name="[Table1].[Product].[Product]" caption="Product" numFmtId="0" hierarchy="2" level="1">
      <sharedItems count="5">
        <s v="Keyboard"/>
        <s v="Laptop"/>
        <s v="Monitor"/>
        <s v="Mouse"/>
        <s v="Printer"/>
      </sharedItems>
    </cacheField>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7824076" backgroundQuery="1" createdVersion="8" refreshedVersion="8" minRefreshableVersion="3" recordCount="0" supportSubquery="1" supportAdvancedDrill="1" xr:uid="{277349D2-B2D1-4522-9846-D8F1529EDD56}">
  <cacheSource type="external" connectionId="1"/>
  <cacheFields count="2">
    <cacheField name="[Table1_1].[Product].[Product]" caption="Product" numFmtId="0" hierarchy="11" level="1">
      <sharedItems count="5">
        <s v="Keyboard"/>
        <s v="Laptop"/>
        <s v="Monitor"/>
        <s v="Mouse"/>
        <s v="Printer"/>
      </sharedItems>
    </cacheField>
    <cacheField name="[Measures].[Sum of Sales Amount 2]" caption="Sum of Sales Amount 2" numFmtId="0" hierarchy="28" level="32767"/>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8287038" backgroundQuery="1" createdVersion="8" refreshedVersion="8" minRefreshableVersion="3" recordCount="0" supportSubquery="1" supportAdvancedDrill="1" xr:uid="{E4A42804-58B0-4BA0-905B-5AA89A56D061}">
  <cacheSource type="external" connectionId="1"/>
  <cacheFields count="2">
    <cacheField name="[Measures].[Count of Order ID]" caption="Count of Order ID" numFmtId="0" hierarchy="25"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8865739" backgroundQuery="1" createdVersion="8" refreshedVersion="8" minRefreshableVersion="3" recordCount="0" supportSubquery="1" supportAdvancedDrill="1" xr:uid="{A765206C-840E-4533-A9F5-EFBD70FFC5B1}">
  <cacheSource type="external" connectionId="1"/>
  <cacheFields count="2">
    <cacheField name="[Measures].[Sum of Quantity]" caption="Sum of Quantity" numFmtId="0" hierarchy="24"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19907409" backgroundQuery="1" createdVersion="8" refreshedVersion="8" minRefreshableVersion="3" recordCount="0" supportSubquery="1" supportAdvancedDrill="1" xr:uid="{29521775-1D38-4B6D-814A-DB0E54D73058}">
  <cacheSource type="external" connectionId="1"/>
  <cacheFields count="3">
    <cacheField name="[Table1_1].[Order Date].[Order Date]" caption="Order Date" numFmtId="0" hierarchy="10" level="1">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cacheField>
    <cacheField name="[Measures].[Sum of Sales Amount 2]" caption="Sum of Sales Amount 2" numFmtId="0" hierarchy="28"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2" memberValueDatatype="7"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953820833332" backgroundQuery="1" createdVersion="8" refreshedVersion="8" minRefreshableVersion="3" recordCount="0" supportSubquery="1" supportAdvancedDrill="1" xr:uid="{CBAF2F6C-FFFB-4985-8A49-500F18DF6DF9}">
  <cacheSource type="external" connectionId="1"/>
  <cacheFields count="5">
    <cacheField name="[Table1_1].[Salesperson].[Salesperson]" caption="Salesperson" numFmtId="0" hierarchy="17" level="1">
      <sharedItems count="4">
        <s v="Alice"/>
        <s v="John"/>
        <s v="Robert"/>
        <s v="Sophia"/>
      </sharedItems>
    </cacheField>
    <cacheField name="[Table1_1].[Region].[Region]" caption="Region" numFmtId="0" hierarchy="13" level="1">
      <sharedItems count="4">
        <s v="East"/>
        <s v="North"/>
        <s v="South"/>
        <s v="West"/>
      </sharedItems>
    </cacheField>
    <cacheField name="[Measures].[Sum of Quantity 2]" caption="Sum of Quantity 2" numFmtId="0" hierarchy="31" level="32767"/>
    <cacheField name="[Measures].[Sum of Sales Amount 2]" caption="Sum of Sales Amount 2" numFmtId="0" hierarchy="28" level="32767"/>
    <cacheField name="[Table1_1].[Product].[Product]" caption="Product" numFmtId="0" hierarchy="11" level="1">
      <sharedItems containsSemiMixedTypes="0" containsNonDate="0" containsString="0"/>
    </cacheField>
  </cacheFields>
  <cacheHierarchies count="32">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2"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1"/>
      </fieldsUsage>
    </cacheHierarchy>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2" memberValueDatatype="130" unbalanced="0">
      <fieldsUsage count="2">
        <fieldUsage x="-1"/>
        <fieldUsage x="0"/>
      </fieldsUsage>
    </cacheHierarchy>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Quantity 2]" caption="Sum of Quantity 2" measure="1" displayFolder="" measureGroup="Table1_1"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703628240743" backgroundQuery="1" createdVersion="3" refreshedVersion="8" minRefreshableVersion="3" recordCount="0" supportSubquery="1" supportAdvancedDrill="1" xr:uid="{BCBBAD06-7036-46B6-8F9B-2EFBB21E96DA}">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86333722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49.703633796293" backgroundQuery="1" createdVersion="3" refreshedVersion="8" minRefreshableVersion="3" recordCount="0" supportSubquery="1" supportAdvancedDrill="1" xr:uid="{E6B7DCC8-4786-44F3-87D4-1FFF0681237E}">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Product]" caption="Product" attribute="1" defaultMemberUniqueName="[Table1_1].[Product].[All]" allUniqueName="[Table1_1].[Product].[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Sales Amount]" caption="Sales Amount" attribute="1" defaultMemberUniqueName="[Table1_1].[Sales Amount].[All]" allUniqueName="[Table1_1].[Sales Amount].[All]" dimensionUniqueName="[Table1_1]" displayFolder="" count="0" memberValueDatatype="20" unbalanced="0"/>
    <cacheHierarchy uniqueName="[Table1_1].[Quantity]" caption="Quantity" attribute="1" defaultMemberUniqueName="[Table1_1].[Quantity].[All]" allUniqueName="[Table1_1].[Quantity].[All]" dimensionUniqueName="[Table1_1]" displayFolder="" count="0" memberValueDatatype="2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y uniqueName="[Measures].[Count of Salesperson]" caption="Count of Salesperson" measure="1" displayFolder="" measureGroup="Table1_1" count="0" hidden="1">
      <extLst>
        <ext xmlns:x15="http://schemas.microsoft.com/office/spreadsheetml/2010/11/main" uri="{B97F6D7D-B522-45F9-BDA1-12C45D357490}">
          <x15:cacheHierarchy aggregatedColumn="17"/>
        </ext>
      </extLst>
    </cacheHierarchy>
    <cacheHierarchy uniqueName="[Measures].[Sum of Sales Amount 2]" caption="Sum of Sales Amount 2" measure="1" displayFolder="" measureGroup="Table1_1" count="0" hidden="1">
      <extLst>
        <ext xmlns:x15="http://schemas.microsoft.com/office/spreadsheetml/2010/11/main" uri="{B97F6D7D-B522-45F9-BDA1-12C45D357490}">
          <x15:cacheHierarchy aggregatedColumn="14"/>
        </ext>
      </extLst>
    </cacheHierarchy>
    <cacheHierarchy uniqueName="[Measures].[Count of Product 2]" caption="Count of Product 2" measure="1" displayFolder="" measureGroup="Table1_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63024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6E4C6-BD52-4A50-B341-4A3D5DAF2466}" name="PivotTable1" cacheId="4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L9:M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Amount" fld="1"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D4FD50-5DEC-407C-BE58-90E19762103F}" name="PivotTable8" cacheId="4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5">
    <format dxfId="810">
      <pivotArea type="all" dataOnly="0" outline="0" fieldPosition="0"/>
    </format>
    <format dxfId="809">
      <pivotArea outline="0" collapsedLevelsAreSubtotals="1" fieldPosition="0"/>
    </format>
    <format dxfId="808">
      <pivotArea dataOnly="0" labelOnly="1" outline="0" axis="axisValues" fieldPosition="0"/>
    </format>
    <format dxfId="807">
      <pivotArea dataOnly="0" outline="0" axis="axisValues" fieldPosition="0"/>
    </format>
    <format dxfId="806">
      <pivotArea dataOnly="0" outline="0" axis="axisValues"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Quantity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38421-F036-4747-AB6B-C2A653AEAA81}" name="PivotTable10" cacheId="4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Amount" fld="0" baseField="0" baseItem="0" numFmtId="164"/>
  </dataFields>
  <formats count="9">
    <format dxfId="818">
      <pivotArea type="all" dataOnly="0" outline="0" fieldPosition="0"/>
    </format>
    <format dxfId="817">
      <pivotArea outline="0" collapsedLevelsAreSubtotals="1" fieldPosition="0"/>
    </format>
    <format dxfId="816">
      <pivotArea dataOnly="0" labelOnly="1" outline="0" axis="axisValues" fieldPosition="0"/>
    </format>
    <format dxfId="815">
      <pivotArea dataOnly="0" outline="0" axis="axisValues" fieldPosition="0"/>
    </format>
    <format dxfId="814">
      <pivotArea dataOnly="0"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702">
      <pivotArea dataOnly="0" labelOnly="1" outline="0" axis="axisValues"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D2843E-67EC-407C-858C-BF998D7CE38E}" name="PivotTable4" cacheId="4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J16"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5">
    <i>
      <x/>
    </i>
    <i>
      <x v="1"/>
    </i>
    <i>
      <x v="2"/>
    </i>
    <i>
      <x v="3"/>
    </i>
    <i t="grand">
      <x/>
    </i>
  </colItems>
  <dataFields count="1">
    <dataField name="Sum of Sales Amount"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28BEA8-75D5-468A-A63E-79F3F8043538}" name="PivotTable3" cacheId="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9:C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2"/>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Quantity"/>
    <pivotHierarchy dragToData="1"/>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B38B45-832D-41E3-A97F-B9362915937B}" name="PivotTable9" cacheId="4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9:F70" firstHeaderRow="1" firstDataRow="1"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CDA20C-B4C4-46B9-A374-1C0D8EF34A27}" name="PivotTable7" cacheId="4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4A76BD-880A-4B11-93DA-6250597E5009}" name="PivotTable5" cacheId="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9:C25"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1"/>
    </i>
    <i>
      <x v="4"/>
    </i>
    <i>
      <x v="2"/>
    </i>
    <i>
      <x v="3"/>
    </i>
    <i t="grand">
      <x/>
    </i>
  </rowItems>
  <colItems count="1">
    <i/>
  </colItems>
  <dataFields count="1">
    <dataField name="Sum of Sales 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212E05-ECDE-4538-BEB3-F47695DBFA01}" name="PivotTable10" cacheId="4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Q5:S26"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Quantity Sold" fld="2" baseField="1" baseItem="0"/>
    <dataField name="Sales Amount" fld="3" baseField="1" baseItem="0"/>
  </dataFields>
  <formats count="103">
    <format dxfId="805">
      <pivotArea field="1" type="button" dataOnly="0" labelOnly="1" outline="0" axis="axisRow" fieldPosition="0"/>
    </format>
    <format dxfId="804">
      <pivotArea dataOnly="0" labelOnly="1" fieldPosition="0">
        <references count="1">
          <reference field="1" count="1">
            <x v="0"/>
          </reference>
        </references>
      </pivotArea>
    </format>
    <format dxfId="803">
      <pivotArea dataOnly="0" labelOnly="1" fieldPosition="0">
        <references count="1">
          <reference field="1" count="1">
            <x v="1"/>
          </reference>
        </references>
      </pivotArea>
    </format>
    <format dxfId="802">
      <pivotArea dataOnly="0" labelOnly="1" fieldPosition="0">
        <references count="1">
          <reference field="1" count="1">
            <x v="2"/>
          </reference>
        </references>
      </pivotArea>
    </format>
    <format dxfId="801">
      <pivotArea dataOnly="0" labelOnly="1" fieldPosition="0">
        <references count="1">
          <reference field="1" count="1">
            <x v="3"/>
          </reference>
        </references>
      </pivotArea>
    </format>
    <format dxfId="800">
      <pivotArea dataOnly="0" labelOnly="1" grandRow="1" outline="0" fieldPosition="0"/>
    </format>
    <format dxfId="799">
      <pivotArea dataOnly="0" labelOnly="1" fieldPosition="0">
        <references count="1">
          <reference field="1" count="1">
            <x v="0"/>
          </reference>
        </references>
      </pivotArea>
    </format>
    <format dxfId="798">
      <pivotArea dataOnly="0" labelOnly="1" fieldPosition="0">
        <references count="1">
          <reference field="1" count="1">
            <x v="1"/>
          </reference>
        </references>
      </pivotArea>
    </format>
    <format dxfId="797">
      <pivotArea dataOnly="0" labelOnly="1" fieldPosition="0">
        <references count="1">
          <reference field="1" count="1">
            <x v="2"/>
          </reference>
        </references>
      </pivotArea>
    </format>
    <format dxfId="796">
      <pivotArea dataOnly="0" labelOnly="1" fieldPosition="0">
        <references count="1">
          <reference field="1" count="1">
            <x v="3"/>
          </reference>
        </references>
      </pivotArea>
    </format>
    <format dxfId="795">
      <pivotArea dataOnly="0" labelOnly="1" grandRow="1" outline="0" fieldPosition="0"/>
    </format>
    <format dxfId="794">
      <pivotArea field="1" type="button" dataOnly="0" labelOnly="1" outline="0" axis="axisRow" fieldPosition="0"/>
    </format>
    <format dxfId="793">
      <pivotArea field="1" type="button" dataOnly="0" labelOnly="1" outline="0" axis="axisRow" fieldPosition="0"/>
    </format>
    <format dxfId="792">
      <pivotArea field="1" type="button" dataOnly="0" labelOnly="1" outline="0" axis="axisRow" fieldPosition="0"/>
    </format>
    <format dxfId="791">
      <pivotArea dataOnly="0" labelOnly="1" fieldPosition="0">
        <references count="1">
          <reference field="1" count="1">
            <x v="0"/>
          </reference>
        </references>
      </pivotArea>
    </format>
    <format dxfId="790">
      <pivotArea dataOnly="0" labelOnly="1" fieldPosition="0">
        <references count="1">
          <reference field="1" count="1">
            <x v="1"/>
          </reference>
        </references>
      </pivotArea>
    </format>
    <format dxfId="789">
      <pivotArea dataOnly="0" labelOnly="1" fieldPosition="0">
        <references count="1">
          <reference field="1" count="1">
            <x v="2"/>
          </reference>
        </references>
      </pivotArea>
    </format>
    <format dxfId="788">
      <pivotArea dataOnly="0" labelOnly="1" fieldPosition="0">
        <references count="1">
          <reference field="1" count="1">
            <x v="3"/>
          </reference>
        </references>
      </pivotArea>
    </format>
    <format dxfId="787">
      <pivotArea dataOnly="0" labelOnly="1" grandRow="1" outline="0" fieldPosition="0"/>
    </format>
    <format dxfId="786">
      <pivotArea dataOnly="0" labelOnly="1" fieldPosition="0">
        <references count="1">
          <reference field="1" count="1">
            <x v="0"/>
          </reference>
        </references>
      </pivotArea>
    </format>
    <format dxfId="785">
      <pivotArea dataOnly="0" labelOnly="1" fieldPosition="0">
        <references count="1">
          <reference field="1" count="1">
            <x v="1"/>
          </reference>
        </references>
      </pivotArea>
    </format>
    <format dxfId="784">
      <pivotArea dataOnly="0" labelOnly="1" fieldPosition="0">
        <references count="1">
          <reference field="1" count="1">
            <x v="2"/>
          </reference>
        </references>
      </pivotArea>
    </format>
    <format dxfId="783">
      <pivotArea dataOnly="0" labelOnly="1" fieldPosition="0">
        <references count="1">
          <reference field="1" count="1">
            <x v="3"/>
          </reference>
        </references>
      </pivotArea>
    </format>
    <format dxfId="782">
      <pivotArea dataOnly="0" labelOnly="1" grandRow="1" outline="0" fieldPosition="0"/>
    </format>
    <format dxfId="781">
      <pivotArea dataOnly="0" labelOnly="1" outline="0" fieldPosition="0">
        <references count="1">
          <reference field="4294967294" count="1">
            <x v="1"/>
          </reference>
        </references>
      </pivotArea>
    </format>
    <format dxfId="780">
      <pivotArea dataOnly="0" labelOnly="1" outline="0" fieldPosition="0">
        <references count="1">
          <reference field="4294967294" count="1">
            <x v="0"/>
          </reference>
        </references>
      </pivotArea>
    </format>
    <format dxfId="779">
      <pivotArea dataOnly="0" labelOnly="1" outline="0" fieldPosition="0">
        <references count="1">
          <reference field="4294967294" count="1">
            <x v="1"/>
          </reference>
        </references>
      </pivotArea>
    </format>
    <format dxfId="778">
      <pivotArea dataOnly="0" labelOnly="1" outline="0" fieldPosition="0">
        <references count="1">
          <reference field="4294967294" count="1">
            <x v="0"/>
          </reference>
        </references>
      </pivotArea>
    </format>
    <format dxfId="777">
      <pivotArea dataOnly="0" labelOnly="1" outline="0" fieldPosition="0">
        <references count="1">
          <reference field="4294967294" count="1">
            <x v="1"/>
          </reference>
        </references>
      </pivotArea>
    </format>
    <format dxfId="776">
      <pivotArea dataOnly="0" labelOnly="1" outline="0" fieldPosition="0">
        <references count="1">
          <reference field="4294967294" count="1">
            <x v="0"/>
          </reference>
        </references>
      </pivotArea>
    </format>
    <format dxfId="775">
      <pivotArea dataOnly="0" labelOnly="1" outline="0" fieldPosition="0">
        <references count="1">
          <reference field="4294967294" count="1">
            <x v="1"/>
          </reference>
        </references>
      </pivotArea>
    </format>
    <format dxfId="774">
      <pivotArea dataOnly="0" labelOnly="1" outline="0" fieldPosition="0">
        <references count="1">
          <reference field="4294967294" count="1">
            <x v="0"/>
          </reference>
        </references>
      </pivotArea>
    </format>
    <format dxfId="773">
      <pivotArea field="1" grandRow="1" outline="0" collapsedLevelsAreSubtotals="1" axis="axisRow" fieldPosition="0">
        <references count="1">
          <reference field="4294967294" count="1" selected="0">
            <x v="0"/>
          </reference>
        </references>
      </pivotArea>
    </format>
    <format dxfId="772">
      <pivotArea field="1" grandRow="1" outline="0" collapsedLevelsAreSubtotals="1" axis="axisRow" fieldPosition="0">
        <references count="1">
          <reference field="4294967294" count="1" selected="0">
            <x v="1"/>
          </reference>
        </references>
      </pivotArea>
    </format>
    <format dxfId="771">
      <pivotArea field="1" grandRow="1" outline="0" collapsedLevelsAreSubtotals="1" axis="axisRow" fieldPosition="0">
        <references count="1">
          <reference field="4294967294" count="1" selected="0">
            <x v="0"/>
          </reference>
        </references>
      </pivotArea>
    </format>
    <format dxfId="770">
      <pivotArea field="1" grandRow="1" outline="0" collapsedLevelsAreSubtotals="1" axis="axisRow" fieldPosition="0">
        <references count="1">
          <reference field="4294967294" count="1" selected="0">
            <x v="1"/>
          </reference>
        </references>
      </pivotArea>
    </format>
    <format dxfId="769">
      <pivotArea field="1" grandRow="1" outline="0" collapsedLevelsAreSubtotals="1" axis="axisRow" fieldPosition="0">
        <references count="1">
          <reference field="4294967294" count="1" selected="0">
            <x v="0"/>
          </reference>
        </references>
      </pivotArea>
    </format>
    <format dxfId="768">
      <pivotArea field="1" grandRow="1" outline="0" collapsedLevelsAreSubtotals="1" axis="axisRow" fieldPosition="0">
        <references count="1">
          <reference field="4294967294" count="1" selected="0">
            <x v="1"/>
          </reference>
        </references>
      </pivotArea>
    </format>
    <format dxfId="767">
      <pivotArea field="1" grandRow="1" outline="0" collapsedLevelsAreSubtotals="1" axis="axisRow" fieldPosition="0">
        <references count="1">
          <reference field="4294967294" count="1" selected="0">
            <x v="0"/>
          </reference>
        </references>
      </pivotArea>
    </format>
    <format dxfId="766">
      <pivotArea field="1" grandRow="1" outline="0" collapsedLevelsAreSubtotals="1" axis="axisRow" fieldPosition="0">
        <references count="1">
          <reference field="4294967294" count="1" selected="0">
            <x v="1"/>
          </reference>
        </references>
      </pivotArea>
    </format>
    <format dxfId="765">
      <pivotArea type="all" dataOnly="0" outline="0" fieldPosition="0"/>
    </format>
    <format dxfId="764">
      <pivotArea outline="0" collapsedLevelsAreSubtotals="1" fieldPosition="0"/>
    </format>
    <format dxfId="763">
      <pivotArea field="1" type="button" dataOnly="0" labelOnly="1" outline="0" axis="axisRow" fieldPosition="0"/>
    </format>
    <format dxfId="762">
      <pivotArea dataOnly="0" labelOnly="1" fieldPosition="0">
        <references count="1">
          <reference field="1" count="0"/>
        </references>
      </pivotArea>
    </format>
    <format dxfId="761">
      <pivotArea dataOnly="0" labelOnly="1" grandRow="1" outline="0" fieldPosition="0"/>
    </format>
    <format dxfId="760">
      <pivotArea dataOnly="0" labelOnly="1" fieldPosition="0">
        <references count="2">
          <reference field="0" count="0"/>
          <reference field="1" count="1" selected="0">
            <x v="0"/>
          </reference>
        </references>
      </pivotArea>
    </format>
    <format dxfId="759">
      <pivotArea dataOnly="0" labelOnly="1" fieldPosition="0">
        <references count="2">
          <reference field="0" count="0"/>
          <reference field="1" count="1" selected="0">
            <x v="1"/>
          </reference>
        </references>
      </pivotArea>
    </format>
    <format dxfId="758">
      <pivotArea dataOnly="0" labelOnly="1" fieldPosition="0">
        <references count="2">
          <reference field="0" count="0"/>
          <reference field="1" count="1" selected="0">
            <x v="2"/>
          </reference>
        </references>
      </pivotArea>
    </format>
    <format dxfId="757">
      <pivotArea dataOnly="0" labelOnly="1" fieldPosition="0">
        <references count="2">
          <reference field="0" count="0"/>
          <reference field="1" count="1" selected="0">
            <x v="3"/>
          </reference>
        </references>
      </pivotArea>
    </format>
    <format dxfId="756">
      <pivotArea dataOnly="0" labelOnly="1" outline="0" fieldPosition="0">
        <references count="1">
          <reference field="4294967294" count="2">
            <x v="0"/>
            <x v="1"/>
          </reference>
        </references>
      </pivotArea>
    </format>
    <format dxfId="755">
      <pivotArea type="all" dataOnly="0" outline="0" fieldPosition="0"/>
    </format>
    <format dxfId="754">
      <pivotArea collapsedLevelsAreSubtotals="1" fieldPosition="0">
        <references count="3">
          <reference field="4294967294" count="1" selected="0">
            <x v="1"/>
          </reference>
          <reference field="0" count="0"/>
          <reference field="1" count="1" selected="0">
            <x v="0"/>
          </reference>
        </references>
      </pivotArea>
    </format>
    <format dxfId="753">
      <pivotArea collapsedLevelsAreSubtotals="1" fieldPosition="0">
        <references count="2">
          <reference field="4294967294" count="1" selected="0">
            <x v="1"/>
          </reference>
          <reference field="1" count="1">
            <x v="1"/>
          </reference>
        </references>
      </pivotArea>
    </format>
    <format dxfId="752">
      <pivotArea collapsedLevelsAreSubtotals="1" fieldPosition="0">
        <references count="3">
          <reference field="4294967294" count="1" selected="0">
            <x v="1"/>
          </reference>
          <reference field="0" count="0"/>
          <reference field="1" count="1" selected="0">
            <x v="1"/>
          </reference>
        </references>
      </pivotArea>
    </format>
    <format dxfId="751">
      <pivotArea collapsedLevelsAreSubtotals="1" fieldPosition="0">
        <references count="2">
          <reference field="4294967294" count="1" selected="0">
            <x v="1"/>
          </reference>
          <reference field="1" count="1">
            <x v="2"/>
          </reference>
        </references>
      </pivotArea>
    </format>
    <format dxfId="750">
      <pivotArea collapsedLevelsAreSubtotals="1" fieldPosition="0">
        <references count="3">
          <reference field="4294967294" count="1" selected="0">
            <x v="1"/>
          </reference>
          <reference field="0" count="0"/>
          <reference field="1" count="1" selected="0">
            <x v="2"/>
          </reference>
        </references>
      </pivotArea>
    </format>
    <format dxfId="749">
      <pivotArea collapsedLevelsAreSubtotals="1" fieldPosition="0">
        <references count="2">
          <reference field="4294967294" count="1" selected="0">
            <x v="1"/>
          </reference>
          <reference field="1" count="1">
            <x v="3"/>
          </reference>
        </references>
      </pivotArea>
    </format>
    <format dxfId="748">
      <pivotArea collapsedLevelsAreSubtotals="1" fieldPosition="0">
        <references count="3">
          <reference field="4294967294" count="1" selected="0">
            <x v="1"/>
          </reference>
          <reference field="0" count="0"/>
          <reference field="1" count="1" selected="0">
            <x v="3"/>
          </reference>
        </references>
      </pivotArea>
    </format>
    <format dxfId="747">
      <pivotArea field="1" grandRow="1" outline="0" collapsedLevelsAreSubtotals="1" axis="axisRow" fieldPosition="0">
        <references count="1">
          <reference field="4294967294" count="1" selected="0">
            <x v="1"/>
          </reference>
        </references>
      </pivotArea>
    </format>
    <format dxfId="746">
      <pivotArea collapsedLevelsAreSubtotals="1" fieldPosition="0">
        <references count="3">
          <reference field="4294967294" count="1" selected="0">
            <x v="0"/>
          </reference>
          <reference field="0" count="0"/>
          <reference field="1" count="1" selected="0">
            <x v="0"/>
          </reference>
        </references>
      </pivotArea>
    </format>
    <format dxfId="745">
      <pivotArea collapsedLevelsAreSubtotals="1" fieldPosition="0">
        <references count="2">
          <reference field="4294967294" count="1" selected="0">
            <x v="0"/>
          </reference>
          <reference field="1" count="1">
            <x v="1"/>
          </reference>
        </references>
      </pivotArea>
    </format>
    <format dxfId="744">
      <pivotArea collapsedLevelsAreSubtotals="1" fieldPosition="0">
        <references count="3">
          <reference field="4294967294" count="1" selected="0">
            <x v="0"/>
          </reference>
          <reference field="0" count="0"/>
          <reference field="1" count="1" selected="0">
            <x v="1"/>
          </reference>
        </references>
      </pivotArea>
    </format>
    <format dxfId="743">
      <pivotArea collapsedLevelsAreSubtotals="1" fieldPosition="0">
        <references count="2">
          <reference field="4294967294" count="1" selected="0">
            <x v="0"/>
          </reference>
          <reference field="1" count="1">
            <x v="2"/>
          </reference>
        </references>
      </pivotArea>
    </format>
    <format dxfId="742">
      <pivotArea collapsedLevelsAreSubtotals="1" fieldPosition="0">
        <references count="3">
          <reference field="4294967294" count="1" selected="0">
            <x v="0"/>
          </reference>
          <reference field="0" count="0"/>
          <reference field="1" count="1" selected="0">
            <x v="2"/>
          </reference>
        </references>
      </pivotArea>
    </format>
    <format dxfId="741">
      <pivotArea collapsedLevelsAreSubtotals="1" fieldPosition="0">
        <references count="2">
          <reference field="4294967294" count="1" selected="0">
            <x v="0"/>
          </reference>
          <reference field="1" count="1">
            <x v="3"/>
          </reference>
        </references>
      </pivotArea>
    </format>
    <format dxfId="740">
      <pivotArea collapsedLevelsAreSubtotals="1" fieldPosition="0">
        <references count="3">
          <reference field="4294967294" count="1" selected="0">
            <x v="0"/>
          </reference>
          <reference field="0" count="0"/>
          <reference field="1" count="1" selected="0">
            <x v="3"/>
          </reference>
        </references>
      </pivotArea>
    </format>
    <format dxfId="739">
      <pivotArea field="1" grandRow="1" outline="0" collapsedLevelsAreSubtotals="1" axis="axisRow" fieldPosition="0">
        <references count="1">
          <reference field="4294967294" count="1" selected="0">
            <x v="0"/>
          </reference>
        </references>
      </pivotArea>
    </format>
    <format dxfId="738">
      <pivotArea type="all" dataOnly="0" outline="0" fieldPosition="0"/>
    </format>
    <format dxfId="737">
      <pivotArea outline="0" collapsedLevelsAreSubtotals="1" fieldPosition="0"/>
    </format>
    <format dxfId="736">
      <pivotArea field="1" type="button" dataOnly="0" labelOnly="1" outline="0" axis="axisRow" fieldPosition="0"/>
    </format>
    <format dxfId="735">
      <pivotArea dataOnly="0" labelOnly="1" fieldPosition="0">
        <references count="1">
          <reference field="1" count="0"/>
        </references>
      </pivotArea>
    </format>
    <format dxfId="734">
      <pivotArea dataOnly="0" labelOnly="1" grandRow="1" outline="0" fieldPosition="0"/>
    </format>
    <format dxfId="733">
      <pivotArea dataOnly="0" labelOnly="1" fieldPosition="0">
        <references count="2">
          <reference field="0" count="0"/>
          <reference field="1" count="1" selected="0">
            <x v="0"/>
          </reference>
        </references>
      </pivotArea>
    </format>
    <format dxfId="732">
      <pivotArea dataOnly="0" labelOnly="1" fieldPosition="0">
        <references count="2">
          <reference field="0" count="0"/>
          <reference field="1" count="1" selected="0">
            <x v="1"/>
          </reference>
        </references>
      </pivotArea>
    </format>
    <format dxfId="731">
      <pivotArea dataOnly="0" labelOnly="1" fieldPosition="0">
        <references count="2">
          <reference field="0" count="0"/>
          <reference field="1" count="1" selected="0">
            <x v="2"/>
          </reference>
        </references>
      </pivotArea>
    </format>
    <format dxfId="730">
      <pivotArea dataOnly="0" labelOnly="1" fieldPosition="0">
        <references count="2">
          <reference field="0" count="0"/>
          <reference field="1" count="1" selected="0">
            <x v="3"/>
          </reference>
        </references>
      </pivotArea>
    </format>
    <format dxfId="729">
      <pivotArea dataOnly="0" labelOnly="1" outline="0" fieldPosition="0">
        <references count="1">
          <reference field="4294967294" count="2">
            <x v="0"/>
            <x v="1"/>
          </reference>
        </references>
      </pivotArea>
    </format>
    <format dxfId="728">
      <pivotArea type="all" dataOnly="0" outline="0" fieldPosition="0"/>
    </format>
    <format dxfId="727">
      <pivotArea outline="0" collapsedLevelsAreSubtotals="1" fieldPosition="0"/>
    </format>
    <format dxfId="726">
      <pivotArea field="1" type="button" dataOnly="0" labelOnly="1" outline="0" axis="axisRow" fieldPosition="0"/>
    </format>
    <format dxfId="725">
      <pivotArea dataOnly="0" labelOnly="1" fieldPosition="0">
        <references count="1">
          <reference field="1" count="0"/>
        </references>
      </pivotArea>
    </format>
    <format dxfId="724">
      <pivotArea dataOnly="0" labelOnly="1" grandRow="1" outline="0" fieldPosition="0"/>
    </format>
    <format dxfId="723">
      <pivotArea dataOnly="0" labelOnly="1" fieldPosition="0">
        <references count="2">
          <reference field="0" count="0"/>
          <reference field="1" count="1" selected="0">
            <x v="0"/>
          </reference>
        </references>
      </pivotArea>
    </format>
    <format dxfId="722">
      <pivotArea dataOnly="0" labelOnly="1" fieldPosition="0">
        <references count="2">
          <reference field="0" count="0"/>
          <reference field="1" count="1" selected="0">
            <x v="1"/>
          </reference>
        </references>
      </pivotArea>
    </format>
    <format dxfId="721">
      <pivotArea dataOnly="0" labelOnly="1" fieldPosition="0">
        <references count="2">
          <reference field="0" count="0"/>
          <reference field="1" count="1" selected="0">
            <x v="2"/>
          </reference>
        </references>
      </pivotArea>
    </format>
    <format dxfId="720">
      <pivotArea dataOnly="0" labelOnly="1" fieldPosition="0">
        <references count="2">
          <reference field="0" count="0"/>
          <reference field="1" count="1" selected="0">
            <x v="3"/>
          </reference>
        </references>
      </pivotArea>
    </format>
    <format dxfId="719">
      <pivotArea dataOnly="0" labelOnly="1" outline="0" fieldPosition="0">
        <references count="1">
          <reference field="4294967294" count="2">
            <x v="0"/>
            <x v="1"/>
          </reference>
        </references>
      </pivotArea>
    </format>
    <format dxfId="718">
      <pivotArea type="all" dataOnly="0" outline="0" fieldPosition="0"/>
    </format>
    <format dxfId="717">
      <pivotArea outline="0" collapsedLevelsAreSubtotals="1" fieldPosition="0"/>
    </format>
    <format dxfId="716">
      <pivotArea field="1" type="button" dataOnly="0" labelOnly="1" outline="0" axis="axisRow" fieldPosition="0"/>
    </format>
    <format dxfId="715">
      <pivotArea dataOnly="0" labelOnly="1" fieldPosition="0">
        <references count="1">
          <reference field="1" count="0"/>
        </references>
      </pivotArea>
    </format>
    <format dxfId="714">
      <pivotArea dataOnly="0" labelOnly="1" grandRow="1" outline="0" fieldPosition="0"/>
    </format>
    <format dxfId="713">
      <pivotArea dataOnly="0" labelOnly="1" fieldPosition="0">
        <references count="2">
          <reference field="0" count="0"/>
          <reference field="1" count="1" selected="0">
            <x v="0"/>
          </reference>
        </references>
      </pivotArea>
    </format>
    <format dxfId="712">
      <pivotArea dataOnly="0" labelOnly="1" fieldPosition="0">
        <references count="2">
          <reference field="0" count="0"/>
          <reference field="1" count="1" selected="0">
            <x v="1"/>
          </reference>
        </references>
      </pivotArea>
    </format>
    <format dxfId="711">
      <pivotArea dataOnly="0" labelOnly="1" fieldPosition="0">
        <references count="2">
          <reference field="0" count="0"/>
          <reference field="1" count="1" selected="0">
            <x v="2"/>
          </reference>
        </references>
      </pivotArea>
    </format>
    <format dxfId="710">
      <pivotArea dataOnly="0" labelOnly="1" fieldPosition="0">
        <references count="2">
          <reference field="0" count="0"/>
          <reference field="1" count="1" selected="0">
            <x v="3"/>
          </reference>
        </references>
      </pivotArea>
    </format>
    <format dxfId="709">
      <pivotArea dataOnly="0" labelOnly="1" outline="0" fieldPosition="0">
        <references count="1">
          <reference field="4294967294" count="2">
            <x v="0"/>
            <x v="1"/>
          </reference>
        </references>
      </pivotArea>
    </format>
    <format dxfId="708">
      <pivotArea dataOnly="0" labelOnly="1" outline="0" fieldPosition="0">
        <references count="1">
          <reference field="4294967294" count="1">
            <x v="1"/>
          </reference>
        </references>
      </pivotArea>
    </format>
    <format dxfId="707">
      <pivotArea dataOnly="0" labelOnly="1" outline="0" fieldPosition="0">
        <references count="1">
          <reference field="4294967294" count="1">
            <x v="1"/>
          </reference>
        </references>
      </pivotArea>
    </format>
    <format dxfId="706">
      <pivotArea dataOnly="0" labelOnly="1" outline="0" fieldPosition="0">
        <references count="1">
          <reference field="4294967294" count="1">
            <x v="0"/>
          </reference>
        </references>
      </pivotArea>
    </format>
    <format dxfId="705">
      <pivotArea dataOnly="0" labelOnly="1" outline="0" fieldPosition="0">
        <references count="1">
          <reference field="4294967294" count="1">
            <x v="0"/>
          </reference>
        </references>
      </pivotArea>
    </format>
    <format dxfId="704">
      <pivotArea field="1" type="button" dataOnly="0" labelOnly="1" outline="0" axis="axisRow" fieldPosition="0"/>
    </format>
    <format dxfId="703">
      <pivotArea field="1" type="button" dataOnly="0" labelOnly="1" outline="0" axis="axisRow"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ales Amount"/>
    <pivotHierarchy dragToData="1"/>
    <pivotHierarchy dragToData="1"/>
    <pivotHierarchy dragToData="1" caption="Quantity Sold"/>
  </pivotHierarchies>
  <pivotTableStyleInfo showRowHeaders="1" showColHeaders="1" showRowStripes="0" showColStripes="0" showLastColumn="1"/>
  <rowHierarchiesUsage count="2">
    <rowHierarchyUsage hierarchyUsage="13"/>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version 2).xlsb!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1457D4-0DF0-4ADD-A938-081BF539E03B}" sourceName="[Table1_1].[Region]">
  <pivotTables>
    <pivotTable tabId="2" name="PivotTable10"/>
    <pivotTable tabId="2" name="PivotTable3"/>
    <pivotTable tabId="2" name="PivotTable4"/>
    <pivotTable tabId="2" name="PivotTable7"/>
    <pivotTable tabId="2" name="PivotTable8"/>
    <pivotTable tabId="2" name="PivotTable1"/>
    <pivotTable tabId="2" name="PivotTable5"/>
    <pivotTable tabId="2" name="PivotTable9"/>
    <pivotTable tabId="3" name="PivotTable10"/>
  </pivotTables>
  <data>
    <olap pivotCacheId="1263024547">
      <levels count="2">
        <level uniqueName="[Table1_1].[Region].[(All)]" sourceCaption="(All)" count="0"/>
        <level uniqueName="[Table1_1].[Region].[Region]" sourceCaption="Region" count="4">
          <ranges>
            <range startItem="0">
              <i n="[Table1_1].[Region].&amp;[East]" c="East"/>
              <i n="[Table1_1].[Region].&amp;[North]" c="North"/>
              <i n="[Table1_1].[Region].&amp;[South]" c="South"/>
              <i n="[Table1_1].[Region].&amp;[West]" c="West"/>
            </range>
          </ranges>
        </level>
      </levels>
      <selections count="1">
        <selection n="[Table1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54BB374-83ED-40DD-B547-179A4E5B50F6}" sourceName="[Table1_1].[Product]">
  <pivotTables>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 tabId="3" name="PivotTable10"/>
  </pivotTables>
  <data>
    <olap pivotCacheId="1863337222">
      <levels count="2">
        <level uniqueName="[Table1_1].[Product].[(All)]" sourceCaption="(All)" count="0"/>
        <level uniqueName="[Table1_1].[Product].[Product]" sourceCaption="Product" count="5">
          <ranges>
            <range startItem="0">
              <i n="[Table1_1].[Product].&amp;[Keyboard]" c="Keyboard"/>
              <i n="[Table1_1].[Product].&amp;[Laptop]" c="Laptop"/>
              <i n="[Table1_1].[Product].&amp;[Monitor]" c="Monitor"/>
              <i n="[Table1_1].[Product].&amp;[Mouse]" c="Mouse"/>
              <i n="[Table1_1].[Product].&amp;[Printer]" c="Printer"/>
            </range>
          </ranges>
        </level>
      </levels>
      <selections count="1">
        <selection n="[Table1_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2E2A28-D3E8-4BC2-8FF2-5E6F64CD8DAF}" cache="Slicer_Region" caption="Region" level="1" style="SlicerStyleDark1" lockedPosition="1" rowHeight="257175"/>
  <slicer name="Product" xr10:uid="{AA9E43AB-E928-4291-AB48-B7E5CA422A74}" cache="Slicer_Product" caption="Product" level="1" style="SlicerStyleDark1"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87AA6B-52BC-46DC-AFF2-E6C4A9B62463}" name="Table1" displayName="Table1_1" ref="A1:I51" totalsRowShown="0" headerRowDxfId="822" headerRowBorderDxfId="821" tableBorderDxfId="820">
  <autoFilter ref="A1:I51" xr:uid="{8F87AA6B-52BC-46DC-AFF2-E6C4A9B62463}"/>
  <sortState xmlns:xlrd2="http://schemas.microsoft.com/office/spreadsheetml/2017/richdata2" ref="A2:I51">
    <sortCondition ref="E1:E51"/>
  </sortState>
  <tableColumns count="9">
    <tableColumn id="1" xr3:uid="{E369A43F-692E-4E95-920E-D6972A9A844A}" name="Order ID"/>
    <tableColumn id="2" xr3:uid="{2A371305-424D-40D2-965D-07CDC23F3987}" name="Order Date" dataDxfId="819"/>
    <tableColumn id="3" xr3:uid="{729057B9-4F56-4EDD-998F-4B7E16FB6AB8}" name="Product"/>
    <tableColumn id="4" xr3:uid="{26CDF4AA-1B11-4CBC-8E5D-594A1AA43D78}" name="Category"/>
    <tableColumn id="5" xr3:uid="{2CACC534-1001-4721-9C0D-5E6413E75669}" name="Region"/>
    <tableColumn id="6" xr3:uid="{59C20401-3435-43B8-B141-6C3F4A993CA4}" name="Sales Amount"/>
    <tableColumn id="7" xr3:uid="{A96881EF-D09C-4312-A29B-24F5D124E43E}" name="Quantity"/>
    <tableColumn id="8" xr3:uid="{23F2FB91-3EDD-4001-BBDC-5EAD517DEBC4}" name="Customer Name"/>
    <tableColumn id="9" xr3:uid="{BC7E5EA3-C59D-4A06-B2CA-2FA3E862FEE2}" name="Salesperson"/>
  </tableColumns>
  <tableStyleInfo name="TableStyleLight1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EF10-0CEC-45B5-B4BF-AA64E16BA86F}">
  <dimension ref="A1:S51"/>
  <sheetViews>
    <sheetView tabSelected="1" workbookViewId="0">
      <selection activeCell="B1" sqref="B1:B1048576"/>
    </sheetView>
  </sheetViews>
  <sheetFormatPr defaultRowHeight="15" x14ac:dyDescent="0.25"/>
  <cols>
    <col min="1" max="1" width="12.5703125" customWidth="1"/>
    <col min="2" max="2" width="17.7109375" style="7" bestFit="1" customWidth="1"/>
    <col min="3" max="3" width="12.5703125" customWidth="1"/>
    <col min="4" max="4" width="14.140625" customWidth="1"/>
    <col min="5" max="5" width="11.140625" customWidth="1"/>
    <col min="6" max="6" width="18.7109375" customWidth="1"/>
    <col min="7" max="7" width="13.7109375" customWidth="1"/>
    <col min="8" max="8" width="22.28515625" customWidth="1"/>
    <col min="9" max="9" width="18.85546875" customWidth="1"/>
    <col min="17" max="17" width="20.7109375" customWidth="1"/>
  </cols>
  <sheetData>
    <row r="1" spans="1:19" x14ac:dyDescent="0.25">
      <c r="A1" s="1" t="s">
        <v>0</v>
      </c>
      <c r="B1" s="6" t="s">
        <v>1</v>
      </c>
      <c r="C1" s="1" t="s">
        <v>2</v>
      </c>
      <c r="D1" s="1" t="s">
        <v>3</v>
      </c>
      <c r="E1" s="1" t="s">
        <v>4</v>
      </c>
      <c r="F1" s="1" t="s">
        <v>5</v>
      </c>
      <c r="G1" s="1" t="s">
        <v>6</v>
      </c>
      <c r="H1" s="1" t="s">
        <v>7</v>
      </c>
      <c r="I1" s="1" t="s">
        <v>8</v>
      </c>
      <c r="N1" s="24" t="s">
        <v>92</v>
      </c>
      <c r="O1" s="25"/>
      <c r="P1" s="25"/>
      <c r="Q1" s="25"/>
      <c r="R1" s="25"/>
      <c r="S1" s="2"/>
    </row>
    <row r="2" spans="1:19" x14ac:dyDescent="0.25">
      <c r="A2" t="s">
        <v>83</v>
      </c>
      <c r="B2" s="7">
        <v>45333</v>
      </c>
      <c r="C2" t="s">
        <v>16</v>
      </c>
      <c r="D2" t="s">
        <v>11</v>
      </c>
      <c r="E2" t="s">
        <v>17</v>
      </c>
      <c r="F2">
        <v>297</v>
      </c>
      <c r="G2">
        <v>4</v>
      </c>
      <c r="H2" t="s">
        <v>22</v>
      </c>
      <c r="I2" t="s">
        <v>19</v>
      </c>
      <c r="N2" s="26" t="s">
        <v>93</v>
      </c>
      <c r="O2" s="27"/>
      <c r="P2" s="27"/>
      <c r="Q2" s="27"/>
      <c r="R2" s="3" t="str">
        <f>INDEX(E1:E26, MODE(MATCH(E1:E26, E1:E26, 0)))</f>
        <v>East</v>
      </c>
      <c r="S2" s="4"/>
    </row>
    <row r="3" spans="1:19" x14ac:dyDescent="0.25">
      <c r="A3" t="s">
        <v>86</v>
      </c>
      <c r="B3" s="7">
        <v>45336</v>
      </c>
      <c r="C3" t="s">
        <v>30</v>
      </c>
      <c r="D3" t="s">
        <v>26</v>
      </c>
      <c r="E3" t="s">
        <v>17</v>
      </c>
      <c r="F3">
        <v>708</v>
      </c>
      <c r="G3">
        <v>4</v>
      </c>
      <c r="H3" t="s">
        <v>35</v>
      </c>
      <c r="I3" t="s">
        <v>42</v>
      </c>
      <c r="N3" s="28" t="s">
        <v>94</v>
      </c>
      <c r="O3" s="29"/>
      <c r="P3" s="29"/>
      <c r="Q3" s="29"/>
      <c r="R3" s="5">
        <f>AVERAGE(F2:F51)</f>
        <v>2806</v>
      </c>
      <c r="S3" s="4"/>
    </row>
    <row r="4" spans="1:19" x14ac:dyDescent="0.25">
      <c r="A4" t="s">
        <v>34</v>
      </c>
      <c r="B4" s="7">
        <v>45299</v>
      </c>
      <c r="C4" t="s">
        <v>30</v>
      </c>
      <c r="D4" t="s">
        <v>26</v>
      </c>
      <c r="E4" t="s">
        <v>17</v>
      </c>
      <c r="F4">
        <v>763</v>
      </c>
      <c r="G4">
        <v>7</v>
      </c>
      <c r="H4" t="s">
        <v>35</v>
      </c>
      <c r="I4" t="s">
        <v>14</v>
      </c>
      <c r="N4" s="30" t="s">
        <v>95</v>
      </c>
      <c r="O4" s="31"/>
      <c r="P4" s="31"/>
      <c r="Q4" s="31"/>
      <c r="R4" s="32"/>
      <c r="S4" s="4"/>
    </row>
    <row r="5" spans="1:19" x14ac:dyDescent="0.25">
      <c r="A5" t="s">
        <v>67</v>
      </c>
      <c r="B5" s="7">
        <v>45319</v>
      </c>
      <c r="C5" t="s">
        <v>25</v>
      </c>
      <c r="D5" t="s">
        <v>11</v>
      </c>
      <c r="E5" t="s">
        <v>17</v>
      </c>
      <c r="F5">
        <v>954</v>
      </c>
      <c r="G5">
        <v>5</v>
      </c>
      <c r="H5" t="s">
        <v>60</v>
      </c>
      <c r="I5" t="s">
        <v>19</v>
      </c>
    </row>
    <row r="6" spans="1:19" x14ac:dyDescent="0.25">
      <c r="A6" t="s">
        <v>88</v>
      </c>
      <c r="B6" s="7">
        <v>45338</v>
      </c>
      <c r="C6" t="s">
        <v>41</v>
      </c>
      <c r="D6" t="s">
        <v>11</v>
      </c>
      <c r="E6" t="s">
        <v>17</v>
      </c>
      <c r="F6">
        <v>1247</v>
      </c>
      <c r="G6">
        <v>8</v>
      </c>
      <c r="H6" t="s">
        <v>54</v>
      </c>
      <c r="I6" t="s">
        <v>14</v>
      </c>
    </row>
    <row r="7" spans="1:19" x14ac:dyDescent="0.25">
      <c r="A7" t="s">
        <v>15</v>
      </c>
      <c r="B7" s="7">
        <v>45293</v>
      </c>
      <c r="C7" t="s">
        <v>16</v>
      </c>
      <c r="D7" t="s">
        <v>11</v>
      </c>
      <c r="E7" t="s">
        <v>17</v>
      </c>
      <c r="F7">
        <v>1382</v>
      </c>
      <c r="G7">
        <v>4</v>
      </c>
      <c r="H7" t="s">
        <v>18</v>
      </c>
      <c r="I7" t="s">
        <v>19</v>
      </c>
    </row>
    <row r="8" spans="1:19" x14ac:dyDescent="0.25">
      <c r="A8" t="s">
        <v>62</v>
      </c>
      <c r="B8" s="7">
        <v>45316</v>
      </c>
      <c r="C8" t="s">
        <v>30</v>
      </c>
      <c r="D8" t="s">
        <v>11</v>
      </c>
      <c r="E8" t="s">
        <v>17</v>
      </c>
      <c r="F8">
        <v>2260</v>
      </c>
      <c r="G8">
        <v>1</v>
      </c>
      <c r="H8" t="s">
        <v>63</v>
      </c>
      <c r="I8" t="s">
        <v>19</v>
      </c>
    </row>
    <row r="9" spans="1:19" x14ac:dyDescent="0.25">
      <c r="A9" t="s">
        <v>91</v>
      </c>
      <c r="B9" s="7">
        <v>45341</v>
      </c>
      <c r="C9" t="s">
        <v>41</v>
      </c>
      <c r="D9" t="s">
        <v>26</v>
      </c>
      <c r="E9" t="s">
        <v>17</v>
      </c>
      <c r="F9">
        <v>2611</v>
      </c>
      <c r="G9">
        <v>9</v>
      </c>
      <c r="H9" t="s">
        <v>39</v>
      </c>
      <c r="I9" t="s">
        <v>42</v>
      </c>
    </row>
    <row r="10" spans="1:19" x14ac:dyDescent="0.25">
      <c r="A10" t="s">
        <v>87</v>
      </c>
      <c r="B10" s="7">
        <v>45337</v>
      </c>
      <c r="C10" t="s">
        <v>41</v>
      </c>
      <c r="D10" t="s">
        <v>26</v>
      </c>
      <c r="E10" t="s">
        <v>17</v>
      </c>
      <c r="F10">
        <v>3372</v>
      </c>
      <c r="G10">
        <v>6</v>
      </c>
      <c r="H10" t="s">
        <v>75</v>
      </c>
      <c r="I10" t="s">
        <v>23</v>
      </c>
    </row>
    <row r="11" spans="1:19" x14ac:dyDescent="0.25">
      <c r="A11" t="s">
        <v>45</v>
      </c>
      <c r="B11" s="7">
        <v>45305</v>
      </c>
      <c r="C11" t="s">
        <v>10</v>
      </c>
      <c r="D11" t="s">
        <v>11</v>
      </c>
      <c r="E11" t="s">
        <v>17</v>
      </c>
      <c r="F11">
        <v>3863</v>
      </c>
      <c r="G11">
        <v>2</v>
      </c>
      <c r="H11" t="s">
        <v>33</v>
      </c>
      <c r="I11" t="s">
        <v>19</v>
      </c>
    </row>
    <row r="12" spans="1:19" x14ac:dyDescent="0.25">
      <c r="A12" t="s">
        <v>48</v>
      </c>
      <c r="B12" s="7">
        <v>45307</v>
      </c>
      <c r="C12" t="s">
        <v>10</v>
      </c>
      <c r="D12" t="s">
        <v>11</v>
      </c>
      <c r="E12" t="s">
        <v>17</v>
      </c>
      <c r="F12">
        <v>4759</v>
      </c>
      <c r="G12">
        <v>1</v>
      </c>
      <c r="H12" t="s">
        <v>49</v>
      </c>
      <c r="I12" t="s">
        <v>42</v>
      </c>
    </row>
    <row r="13" spans="1:19" x14ac:dyDescent="0.25">
      <c r="A13" t="s">
        <v>65</v>
      </c>
      <c r="B13" s="7">
        <v>45318</v>
      </c>
      <c r="C13" t="s">
        <v>16</v>
      </c>
      <c r="D13" t="s">
        <v>11</v>
      </c>
      <c r="E13" t="s">
        <v>17</v>
      </c>
      <c r="F13">
        <v>4837</v>
      </c>
      <c r="G13">
        <v>1</v>
      </c>
      <c r="H13" t="s">
        <v>66</v>
      </c>
      <c r="I13" t="s">
        <v>19</v>
      </c>
    </row>
    <row r="14" spans="1:19" x14ac:dyDescent="0.25">
      <c r="A14" t="s">
        <v>24</v>
      </c>
      <c r="B14" s="7">
        <v>45295</v>
      </c>
      <c r="C14" t="s">
        <v>25</v>
      </c>
      <c r="D14" t="s">
        <v>26</v>
      </c>
      <c r="E14" t="s">
        <v>17</v>
      </c>
      <c r="F14">
        <v>4844</v>
      </c>
      <c r="G14">
        <v>3</v>
      </c>
      <c r="H14" t="s">
        <v>18</v>
      </c>
      <c r="I14" t="s">
        <v>23</v>
      </c>
    </row>
    <row r="15" spans="1:19" x14ac:dyDescent="0.25">
      <c r="A15" t="s">
        <v>43</v>
      </c>
      <c r="B15" s="7">
        <v>45303</v>
      </c>
      <c r="C15" t="s">
        <v>16</v>
      </c>
      <c r="D15" t="s">
        <v>26</v>
      </c>
      <c r="E15" t="s">
        <v>12</v>
      </c>
      <c r="F15">
        <v>1595</v>
      </c>
      <c r="G15">
        <v>8</v>
      </c>
      <c r="H15" t="s">
        <v>39</v>
      </c>
      <c r="I15" t="s">
        <v>23</v>
      </c>
    </row>
    <row r="16" spans="1:19" x14ac:dyDescent="0.25">
      <c r="A16" t="s">
        <v>55</v>
      </c>
      <c r="B16" s="7">
        <v>45311</v>
      </c>
      <c r="C16" t="s">
        <v>10</v>
      </c>
      <c r="D16" t="s">
        <v>11</v>
      </c>
      <c r="E16" t="s">
        <v>12</v>
      </c>
      <c r="F16">
        <v>1736</v>
      </c>
      <c r="G16">
        <v>7</v>
      </c>
      <c r="H16" t="s">
        <v>39</v>
      </c>
      <c r="I16" t="s">
        <v>14</v>
      </c>
    </row>
    <row r="17" spans="1:9" x14ac:dyDescent="0.25">
      <c r="A17" t="s">
        <v>84</v>
      </c>
      <c r="B17" s="7">
        <v>45334</v>
      </c>
      <c r="C17" t="s">
        <v>16</v>
      </c>
      <c r="D17" t="s">
        <v>11</v>
      </c>
      <c r="E17" t="s">
        <v>12</v>
      </c>
      <c r="F17">
        <v>2030</v>
      </c>
      <c r="G17">
        <v>1</v>
      </c>
      <c r="H17" t="s">
        <v>63</v>
      </c>
      <c r="I17" t="s">
        <v>42</v>
      </c>
    </row>
    <row r="18" spans="1:9" x14ac:dyDescent="0.25">
      <c r="A18" t="s">
        <v>36</v>
      </c>
      <c r="B18" s="7">
        <v>45300</v>
      </c>
      <c r="C18" t="s">
        <v>30</v>
      </c>
      <c r="D18" t="s">
        <v>11</v>
      </c>
      <c r="E18" t="s">
        <v>12</v>
      </c>
      <c r="F18">
        <v>2098</v>
      </c>
      <c r="G18">
        <v>4</v>
      </c>
      <c r="H18" t="s">
        <v>37</v>
      </c>
      <c r="I18" t="s">
        <v>19</v>
      </c>
    </row>
    <row r="19" spans="1:9" x14ac:dyDescent="0.25">
      <c r="A19" t="s">
        <v>81</v>
      </c>
      <c r="B19" s="7">
        <v>45331</v>
      </c>
      <c r="C19" t="s">
        <v>25</v>
      </c>
      <c r="D19" t="s">
        <v>11</v>
      </c>
      <c r="E19" t="s">
        <v>12</v>
      </c>
      <c r="F19">
        <v>2427</v>
      </c>
      <c r="G19">
        <v>1</v>
      </c>
      <c r="H19" t="s">
        <v>54</v>
      </c>
      <c r="I19" t="s">
        <v>23</v>
      </c>
    </row>
    <row r="20" spans="1:9" x14ac:dyDescent="0.25">
      <c r="A20" t="s">
        <v>9</v>
      </c>
      <c r="B20" s="7">
        <v>45292</v>
      </c>
      <c r="C20" t="s">
        <v>10</v>
      </c>
      <c r="D20" t="s">
        <v>11</v>
      </c>
      <c r="E20" t="s">
        <v>12</v>
      </c>
      <c r="F20">
        <v>2775</v>
      </c>
      <c r="G20">
        <v>3</v>
      </c>
      <c r="H20" t="s">
        <v>13</v>
      </c>
      <c r="I20" t="s">
        <v>14</v>
      </c>
    </row>
    <row r="21" spans="1:9" x14ac:dyDescent="0.25">
      <c r="A21" t="s">
        <v>44</v>
      </c>
      <c r="B21" s="7">
        <v>45304</v>
      </c>
      <c r="C21" t="s">
        <v>30</v>
      </c>
      <c r="D21" t="s">
        <v>26</v>
      </c>
      <c r="E21" t="s">
        <v>12</v>
      </c>
      <c r="F21">
        <v>3404</v>
      </c>
      <c r="G21">
        <v>7</v>
      </c>
      <c r="H21" t="s">
        <v>22</v>
      </c>
      <c r="I21" t="s">
        <v>42</v>
      </c>
    </row>
    <row r="22" spans="1:9" x14ac:dyDescent="0.25">
      <c r="A22" t="s">
        <v>38</v>
      </c>
      <c r="B22" s="7">
        <v>45301</v>
      </c>
      <c r="C22" t="s">
        <v>25</v>
      </c>
      <c r="D22" t="s">
        <v>11</v>
      </c>
      <c r="E22" t="s">
        <v>12</v>
      </c>
      <c r="F22">
        <v>3545</v>
      </c>
      <c r="G22">
        <v>9</v>
      </c>
      <c r="H22" t="s">
        <v>39</v>
      </c>
      <c r="I22" t="s">
        <v>14</v>
      </c>
    </row>
    <row r="23" spans="1:9" x14ac:dyDescent="0.25">
      <c r="A23" t="s">
        <v>53</v>
      </c>
      <c r="B23" s="7">
        <v>45310</v>
      </c>
      <c r="C23" t="s">
        <v>25</v>
      </c>
      <c r="D23" t="s">
        <v>26</v>
      </c>
      <c r="E23" t="s">
        <v>12</v>
      </c>
      <c r="F23">
        <v>3557</v>
      </c>
      <c r="G23">
        <v>2</v>
      </c>
      <c r="H23" t="s">
        <v>54</v>
      </c>
      <c r="I23" t="s">
        <v>42</v>
      </c>
    </row>
    <row r="24" spans="1:9" x14ac:dyDescent="0.25">
      <c r="A24" t="s">
        <v>52</v>
      </c>
      <c r="B24" s="7">
        <v>45309</v>
      </c>
      <c r="C24" t="s">
        <v>30</v>
      </c>
      <c r="D24" t="s">
        <v>26</v>
      </c>
      <c r="E24" t="s">
        <v>12</v>
      </c>
      <c r="F24">
        <v>3681</v>
      </c>
      <c r="G24">
        <v>9</v>
      </c>
      <c r="H24" t="s">
        <v>13</v>
      </c>
      <c r="I24" t="s">
        <v>14</v>
      </c>
    </row>
    <row r="25" spans="1:9" x14ac:dyDescent="0.25">
      <c r="A25" t="s">
        <v>89</v>
      </c>
      <c r="B25" s="7">
        <v>45339</v>
      </c>
      <c r="C25" t="s">
        <v>16</v>
      </c>
      <c r="D25" t="s">
        <v>11</v>
      </c>
      <c r="E25" t="s">
        <v>12</v>
      </c>
      <c r="F25">
        <v>4382</v>
      </c>
      <c r="G25">
        <v>4</v>
      </c>
      <c r="H25" t="s">
        <v>22</v>
      </c>
      <c r="I25" t="s">
        <v>23</v>
      </c>
    </row>
    <row r="26" spans="1:9" x14ac:dyDescent="0.25">
      <c r="A26" t="s">
        <v>78</v>
      </c>
      <c r="B26" s="7">
        <v>45328</v>
      </c>
      <c r="C26" t="s">
        <v>25</v>
      </c>
      <c r="D26" t="s">
        <v>11</v>
      </c>
      <c r="E26" t="s">
        <v>12</v>
      </c>
      <c r="F26">
        <v>4596</v>
      </c>
      <c r="G26">
        <v>8</v>
      </c>
      <c r="H26" t="s">
        <v>37</v>
      </c>
      <c r="I26" t="s">
        <v>42</v>
      </c>
    </row>
    <row r="27" spans="1:9" x14ac:dyDescent="0.25">
      <c r="A27" t="s">
        <v>74</v>
      </c>
      <c r="B27" s="7">
        <v>45325</v>
      </c>
      <c r="C27" t="s">
        <v>30</v>
      </c>
      <c r="D27" t="s">
        <v>11</v>
      </c>
      <c r="E27" t="s">
        <v>21</v>
      </c>
      <c r="F27">
        <v>302</v>
      </c>
      <c r="G27">
        <v>3</v>
      </c>
      <c r="H27" t="s">
        <v>75</v>
      </c>
      <c r="I27" t="s">
        <v>23</v>
      </c>
    </row>
    <row r="28" spans="1:9" x14ac:dyDescent="0.25">
      <c r="A28" t="s">
        <v>20</v>
      </c>
      <c r="B28" s="7">
        <v>45294</v>
      </c>
      <c r="C28" t="s">
        <v>10</v>
      </c>
      <c r="D28" t="s">
        <v>11</v>
      </c>
      <c r="E28" t="s">
        <v>21</v>
      </c>
      <c r="F28">
        <v>809</v>
      </c>
      <c r="G28">
        <v>4</v>
      </c>
      <c r="H28" t="s">
        <v>22</v>
      </c>
      <c r="I28" t="s">
        <v>23</v>
      </c>
    </row>
    <row r="29" spans="1:9" x14ac:dyDescent="0.25">
      <c r="A29" t="s">
        <v>79</v>
      </c>
      <c r="B29" s="7">
        <v>45329</v>
      </c>
      <c r="C29" t="s">
        <v>16</v>
      </c>
      <c r="D29" t="s">
        <v>26</v>
      </c>
      <c r="E29" t="s">
        <v>21</v>
      </c>
      <c r="F29">
        <v>866</v>
      </c>
      <c r="G29">
        <v>6</v>
      </c>
      <c r="H29" t="s">
        <v>13</v>
      </c>
      <c r="I29" t="s">
        <v>14</v>
      </c>
    </row>
    <row r="30" spans="1:9" x14ac:dyDescent="0.25">
      <c r="A30" t="s">
        <v>50</v>
      </c>
      <c r="B30" s="7">
        <v>45308</v>
      </c>
      <c r="C30" t="s">
        <v>10</v>
      </c>
      <c r="D30" t="s">
        <v>11</v>
      </c>
      <c r="E30" t="s">
        <v>21</v>
      </c>
      <c r="F30">
        <v>1391</v>
      </c>
      <c r="G30">
        <v>9</v>
      </c>
      <c r="H30" t="s">
        <v>51</v>
      </c>
      <c r="I30" t="s">
        <v>19</v>
      </c>
    </row>
    <row r="31" spans="1:9" x14ac:dyDescent="0.25">
      <c r="A31" t="s">
        <v>69</v>
      </c>
      <c r="B31" s="7">
        <v>45321</v>
      </c>
      <c r="C31" t="s">
        <v>10</v>
      </c>
      <c r="D31" t="s">
        <v>11</v>
      </c>
      <c r="E31" t="s">
        <v>21</v>
      </c>
      <c r="F31">
        <v>1807</v>
      </c>
      <c r="G31">
        <v>7</v>
      </c>
      <c r="H31" t="s">
        <v>28</v>
      </c>
      <c r="I31" t="s">
        <v>42</v>
      </c>
    </row>
    <row r="32" spans="1:9" x14ac:dyDescent="0.25">
      <c r="A32" t="s">
        <v>71</v>
      </c>
      <c r="B32" s="7">
        <v>45323</v>
      </c>
      <c r="C32" t="s">
        <v>10</v>
      </c>
      <c r="D32" t="s">
        <v>11</v>
      </c>
      <c r="E32" t="s">
        <v>21</v>
      </c>
      <c r="F32">
        <v>1833</v>
      </c>
      <c r="G32">
        <v>9</v>
      </c>
      <c r="H32" t="s">
        <v>72</v>
      </c>
      <c r="I32" t="s">
        <v>23</v>
      </c>
    </row>
    <row r="33" spans="1:9" x14ac:dyDescent="0.25">
      <c r="A33" t="s">
        <v>46</v>
      </c>
      <c r="B33" s="7">
        <v>45306</v>
      </c>
      <c r="C33" t="s">
        <v>30</v>
      </c>
      <c r="D33" t="s">
        <v>26</v>
      </c>
      <c r="E33" t="s">
        <v>21</v>
      </c>
      <c r="F33">
        <v>1953</v>
      </c>
      <c r="G33">
        <v>8</v>
      </c>
      <c r="H33" t="s">
        <v>47</v>
      </c>
      <c r="I33" t="s">
        <v>42</v>
      </c>
    </row>
    <row r="34" spans="1:9" x14ac:dyDescent="0.25">
      <c r="A34" t="s">
        <v>70</v>
      </c>
      <c r="B34" s="7">
        <v>45322</v>
      </c>
      <c r="C34" t="s">
        <v>25</v>
      </c>
      <c r="D34" t="s">
        <v>26</v>
      </c>
      <c r="E34" t="s">
        <v>21</v>
      </c>
      <c r="F34">
        <v>2877</v>
      </c>
      <c r="G34">
        <v>9</v>
      </c>
      <c r="H34" t="s">
        <v>39</v>
      </c>
      <c r="I34" t="s">
        <v>42</v>
      </c>
    </row>
    <row r="35" spans="1:9" x14ac:dyDescent="0.25">
      <c r="A35" t="s">
        <v>82</v>
      </c>
      <c r="B35" s="7">
        <v>45332</v>
      </c>
      <c r="C35" t="s">
        <v>16</v>
      </c>
      <c r="D35" t="s">
        <v>11</v>
      </c>
      <c r="E35" t="s">
        <v>21</v>
      </c>
      <c r="F35">
        <v>3031</v>
      </c>
      <c r="G35">
        <v>8</v>
      </c>
      <c r="H35" t="s">
        <v>58</v>
      </c>
      <c r="I35" t="s">
        <v>42</v>
      </c>
    </row>
    <row r="36" spans="1:9" x14ac:dyDescent="0.25">
      <c r="A36" t="s">
        <v>57</v>
      </c>
      <c r="B36" s="7">
        <v>45313</v>
      </c>
      <c r="C36" t="s">
        <v>30</v>
      </c>
      <c r="D36" t="s">
        <v>26</v>
      </c>
      <c r="E36" t="s">
        <v>21</v>
      </c>
      <c r="F36">
        <v>3099</v>
      </c>
      <c r="G36">
        <v>7</v>
      </c>
      <c r="H36" t="s">
        <v>58</v>
      </c>
      <c r="I36" t="s">
        <v>14</v>
      </c>
    </row>
    <row r="37" spans="1:9" x14ac:dyDescent="0.25">
      <c r="A37" t="s">
        <v>73</v>
      </c>
      <c r="B37" s="7">
        <v>45324</v>
      </c>
      <c r="C37" t="s">
        <v>16</v>
      </c>
      <c r="D37" t="s">
        <v>11</v>
      </c>
      <c r="E37" t="s">
        <v>21</v>
      </c>
      <c r="F37">
        <v>3610</v>
      </c>
      <c r="G37">
        <v>3</v>
      </c>
      <c r="H37" t="s">
        <v>39</v>
      </c>
      <c r="I37" t="s">
        <v>14</v>
      </c>
    </row>
    <row r="38" spans="1:9" x14ac:dyDescent="0.25">
      <c r="A38" t="s">
        <v>27</v>
      </c>
      <c r="B38" s="7">
        <v>45296</v>
      </c>
      <c r="C38" t="s">
        <v>10</v>
      </c>
      <c r="D38" t="s">
        <v>11</v>
      </c>
      <c r="E38" t="s">
        <v>21</v>
      </c>
      <c r="F38">
        <v>4513</v>
      </c>
      <c r="G38">
        <v>3</v>
      </c>
      <c r="H38" t="s">
        <v>28</v>
      </c>
      <c r="I38" t="s">
        <v>14</v>
      </c>
    </row>
    <row r="39" spans="1:9" x14ac:dyDescent="0.25">
      <c r="A39" t="s">
        <v>29</v>
      </c>
      <c r="B39" s="7">
        <v>45297</v>
      </c>
      <c r="C39" t="s">
        <v>30</v>
      </c>
      <c r="D39" t="s">
        <v>26</v>
      </c>
      <c r="E39" t="s">
        <v>21</v>
      </c>
      <c r="F39">
        <v>2806</v>
      </c>
      <c r="G39">
        <v>3</v>
      </c>
      <c r="H39" t="s">
        <v>13</v>
      </c>
      <c r="I39" t="s">
        <v>19</v>
      </c>
    </row>
    <row r="40" spans="1:9" x14ac:dyDescent="0.25">
      <c r="A40" t="s">
        <v>61</v>
      </c>
      <c r="B40" s="7">
        <v>45315</v>
      </c>
      <c r="C40" t="s">
        <v>10</v>
      </c>
      <c r="D40" t="s">
        <v>26</v>
      </c>
      <c r="E40" t="s">
        <v>32</v>
      </c>
      <c r="F40">
        <v>798</v>
      </c>
      <c r="G40">
        <v>4</v>
      </c>
      <c r="H40" t="s">
        <v>22</v>
      </c>
      <c r="I40" t="s">
        <v>42</v>
      </c>
    </row>
    <row r="41" spans="1:9" x14ac:dyDescent="0.25">
      <c r="A41" t="s">
        <v>59</v>
      </c>
      <c r="B41" s="7">
        <v>45314</v>
      </c>
      <c r="C41" t="s">
        <v>10</v>
      </c>
      <c r="D41" t="s">
        <v>26</v>
      </c>
      <c r="E41" t="s">
        <v>32</v>
      </c>
      <c r="F41">
        <v>3252</v>
      </c>
      <c r="G41">
        <v>9</v>
      </c>
      <c r="H41" t="s">
        <v>60</v>
      </c>
      <c r="I41" t="s">
        <v>19</v>
      </c>
    </row>
    <row r="42" spans="1:9" x14ac:dyDescent="0.25">
      <c r="A42" t="s">
        <v>76</v>
      </c>
      <c r="B42" s="7">
        <v>45326</v>
      </c>
      <c r="C42" t="s">
        <v>30</v>
      </c>
      <c r="D42" t="s">
        <v>26</v>
      </c>
      <c r="E42" t="s">
        <v>32</v>
      </c>
      <c r="F42">
        <v>3355</v>
      </c>
      <c r="G42">
        <v>3</v>
      </c>
      <c r="H42" t="s">
        <v>33</v>
      </c>
      <c r="I42" t="s">
        <v>23</v>
      </c>
    </row>
    <row r="43" spans="1:9" x14ac:dyDescent="0.25">
      <c r="A43" t="s">
        <v>90</v>
      </c>
      <c r="B43" s="7">
        <v>45340</v>
      </c>
      <c r="C43" t="s">
        <v>41</v>
      </c>
      <c r="D43" t="s">
        <v>11</v>
      </c>
      <c r="E43" t="s">
        <v>32</v>
      </c>
      <c r="F43">
        <v>3497</v>
      </c>
      <c r="G43">
        <v>3</v>
      </c>
      <c r="H43" t="s">
        <v>13</v>
      </c>
      <c r="I43" t="s">
        <v>14</v>
      </c>
    </row>
    <row r="44" spans="1:9" x14ac:dyDescent="0.25">
      <c r="A44" t="s">
        <v>68</v>
      </c>
      <c r="B44" s="7">
        <v>45320</v>
      </c>
      <c r="C44" t="s">
        <v>25</v>
      </c>
      <c r="D44" t="s">
        <v>11</v>
      </c>
      <c r="E44" t="s">
        <v>32</v>
      </c>
      <c r="F44">
        <v>3574</v>
      </c>
      <c r="G44">
        <v>5</v>
      </c>
      <c r="H44" t="s">
        <v>49</v>
      </c>
      <c r="I44" t="s">
        <v>42</v>
      </c>
    </row>
    <row r="45" spans="1:9" x14ac:dyDescent="0.25">
      <c r="A45" t="s">
        <v>85</v>
      </c>
      <c r="B45" s="7">
        <v>45335</v>
      </c>
      <c r="C45" t="s">
        <v>16</v>
      </c>
      <c r="D45" t="s">
        <v>26</v>
      </c>
      <c r="E45" t="s">
        <v>32</v>
      </c>
      <c r="F45">
        <v>3682</v>
      </c>
      <c r="G45">
        <v>8</v>
      </c>
      <c r="H45" t="s">
        <v>13</v>
      </c>
      <c r="I45" t="s">
        <v>19</v>
      </c>
    </row>
    <row r="46" spans="1:9" x14ac:dyDescent="0.25">
      <c r="A46" t="s">
        <v>56</v>
      </c>
      <c r="B46" s="7">
        <v>45312</v>
      </c>
      <c r="C46" t="s">
        <v>10</v>
      </c>
      <c r="D46" t="s">
        <v>11</v>
      </c>
      <c r="E46" t="s">
        <v>32</v>
      </c>
      <c r="F46">
        <v>3796</v>
      </c>
      <c r="G46">
        <v>3</v>
      </c>
      <c r="H46" t="s">
        <v>33</v>
      </c>
      <c r="I46" t="s">
        <v>42</v>
      </c>
    </row>
    <row r="47" spans="1:9" x14ac:dyDescent="0.25">
      <c r="A47" t="s">
        <v>64</v>
      </c>
      <c r="B47" s="7">
        <v>45317</v>
      </c>
      <c r="C47" t="s">
        <v>30</v>
      </c>
      <c r="D47" t="s">
        <v>11</v>
      </c>
      <c r="E47" t="s">
        <v>32</v>
      </c>
      <c r="F47">
        <v>4197</v>
      </c>
      <c r="G47">
        <v>2</v>
      </c>
      <c r="H47" t="s">
        <v>63</v>
      </c>
      <c r="I47" t="s">
        <v>42</v>
      </c>
    </row>
    <row r="48" spans="1:9" x14ac:dyDescent="0.25">
      <c r="A48" t="s">
        <v>77</v>
      </c>
      <c r="B48" s="7">
        <v>45327</v>
      </c>
      <c r="C48" t="s">
        <v>30</v>
      </c>
      <c r="D48" t="s">
        <v>11</v>
      </c>
      <c r="E48" t="s">
        <v>32</v>
      </c>
      <c r="F48">
        <v>4318</v>
      </c>
      <c r="G48">
        <v>4</v>
      </c>
      <c r="H48" t="s">
        <v>60</v>
      </c>
      <c r="I48" t="s">
        <v>19</v>
      </c>
    </row>
    <row r="49" spans="1:9" x14ac:dyDescent="0.25">
      <c r="A49" t="s">
        <v>80</v>
      </c>
      <c r="B49" s="7">
        <v>45330</v>
      </c>
      <c r="C49" t="s">
        <v>25</v>
      </c>
      <c r="D49" t="s">
        <v>11</v>
      </c>
      <c r="E49" t="s">
        <v>32</v>
      </c>
      <c r="F49">
        <v>4489</v>
      </c>
      <c r="G49">
        <v>8</v>
      </c>
      <c r="H49" t="s">
        <v>54</v>
      </c>
      <c r="I49" t="s">
        <v>19</v>
      </c>
    </row>
    <row r="50" spans="1:9" x14ac:dyDescent="0.25">
      <c r="A50" t="s">
        <v>31</v>
      </c>
      <c r="B50" s="7">
        <v>45298</v>
      </c>
      <c r="C50" t="s">
        <v>30</v>
      </c>
      <c r="D50" t="s">
        <v>11</v>
      </c>
      <c r="E50" t="s">
        <v>32</v>
      </c>
      <c r="F50">
        <v>4879</v>
      </c>
      <c r="G50">
        <v>4</v>
      </c>
      <c r="H50" t="s">
        <v>33</v>
      </c>
      <c r="I50" t="s">
        <v>23</v>
      </c>
    </row>
    <row r="51" spans="1:9" x14ac:dyDescent="0.25">
      <c r="A51" t="s">
        <v>40</v>
      </c>
      <c r="B51" s="7">
        <v>45302</v>
      </c>
      <c r="C51" t="s">
        <v>41</v>
      </c>
      <c r="D51" t="s">
        <v>26</v>
      </c>
      <c r="E51" t="s">
        <v>17</v>
      </c>
      <c r="F51">
        <v>3843</v>
      </c>
      <c r="G51">
        <v>1</v>
      </c>
      <c r="H51" t="s">
        <v>37</v>
      </c>
      <c r="I51" t="s">
        <v>42</v>
      </c>
    </row>
  </sheetData>
  <mergeCells count="4">
    <mergeCell ref="N1:R1"/>
    <mergeCell ref="N2:Q2"/>
    <mergeCell ref="N3:Q3"/>
    <mergeCell ref="N4:R4"/>
  </mergeCells>
  <pageMargins left="0.7" right="0.7" top="0.75" bottom="0.75" header="0.3" footer="0.3"/>
  <headerFooter>
    <oddFooter>&amp;L_x000D_&amp;1#&amp;"Calibri"&amp;10&amp;K000000 Classification: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BA59-6188-4DE8-84D4-36A95C134D16}">
  <dimension ref="B3:M70"/>
  <sheetViews>
    <sheetView zoomScale="84" zoomScaleNormal="84" workbookViewId="0">
      <selection activeCell="K23" sqref="K23"/>
    </sheetView>
  </sheetViews>
  <sheetFormatPr defaultRowHeight="15" x14ac:dyDescent="0.25"/>
  <cols>
    <col min="2" max="2" width="18.28515625" customWidth="1"/>
    <col min="3" max="3" width="20.28515625" bestFit="1" customWidth="1"/>
    <col min="4" max="4" width="18.28515625" bestFit="1" customWidth="1"/>
    <col min="5" max="5" width="13.42578125" bestFit="1" customWidth="1"/>
    <col min="6" max="6" width="20.28515625" bestFit="1" customWidth="1"/>
    <col min="7" max="7" width="6.28515625" bestFit="1" customWidth="1"/>
    <col min="8" max="9" width="7.140625" bestFit="1" customWidth="1"/>
    <col min="10" max="10" width="11.28515625" bestFit="1" customWidth="1"/>
    <col min="11" max="11" width="16.85546875" bestFit="1" customWidth="1"/>
    <col min="12" max="12" width="13.42578125" bestFit="1" customWidth="1"/>
    <col min="13" max="13" width="20.28515625" bestFit="1" customWidth="1"/>
    <col min="14" max="54" width="16.85546875" bestFit="1" customWidth="1"/>
    <col min="55" max="55" width="11.28515625" bestFit="1" customWidth="1"/>
  </cols>
  <sheetData>
    <row r="3" spans="2:13" ht="18.75" customHeight="1" x14ac:dyDescent="0.25">
      <c r="B3" s="35" t="s">
        <v>100</v>
      </c>
      <c r="D3" s="10" t="s">
        <v>101</v>
      </c>
      <c r="F3" t="s">
        <v>102</v>
      </c>
    </row>
    <row r="4" spans="2:13" ht="23.25" customHeight="1" x14ac:dyDescent="0.25">
      <c r="B4" s="11">
        <v>140300</v>
      </c>
      <c r="D4" s="34">
        <v>251</v>
      </c>
      <c r="F4" s="33">
        <v>50</v>
      </c>
    </row>
    <row r="9" spans="2:13" x14ac:dyDescent="0.25">
      <c r="B9" s="8" t="s">
        <v>96</v>
      </c>
      <c r="C9" t="s">
        <v>103</v>
      </c>
      <c r="E9" s="8" t="s">
        <v>98</v>
      </c>
      <c r="F9" s="8" t="s">
        <v>99</v>
      </c>
      <c r="L9" s="8" t="s">
        <v>96</v>
      </c>
      <c r="M9" t="s">
        <v>98</v>
      </c>
    </row>
    <row r="10" spans="2:13" x14ac:dyDescent="0.25">
      <c r="B10" s="9" t="s">
        <v>42</v>
      </c>
      <c r="C10" s="33">
        <v>79</v>
      </c>
      <c r="E10" s="8" t="s">
        <v>96</v>
      </c>
      <c r="F10" t="s">
        <v>42</v>
      </c>
      <c r="G10" t="s">
        <v>23</v>
      </c>
      <c r="H10" t="s">
        <v>19</v>
      </c>
      <c r="I10" t="s">
        <v>14</v>
      </c>
      <c r="J10" t="s">
        <v>97</v>
      </c>
      <c r="L10" s="9" t="s">
        <v>26</v>
      </c>
      <c r="M10" s="33">
        <v>51066</v>
      </c>
    </row>
    <row r="11" spans="2:13" x14ac:dyDescent="0.25">
      <c r="B11" s="9" t="s">
        <v>23</v>
      </c>
      <c r="C11" s="33">
        <v>45</v>
      </c>
      <c r="E11" s="9" t="s">
        <v>41</v>
      </c>
      <c r="F11" s="33">
        <v>6454</v>
      </c>
      <c r="G11" s="33">
        <v>3372</v>
      </c>
      <c r="H11" s="33"/>
      <c r="I11" s="33">
        <v>4744</v>
      </c>
      <c r="J11" s="33">
        <v>14570</v>
      </c>
      <c r="L11" s="9" t="s">
        <v>11</v>
      </c>
      <c r="M11" s="33">
        <v>89234</v>
      </c>
    </row>
    <row r="12" spans="2:13" x14ac:dyDescent="0.25">
      <c r="B12" s="9" t="s">
        <v>19</v>
      </c>
      <c r="C12" s="33">
        <v>62</v>
      </c>
      <c r="E12" s="9" t="s">
        <v>16</v>
      </c>
      <c r="F12" s="33">
        <v>5061</v>
      </c>
      <c r="G12" s="33">
        <v>5977</v>
      </c>
      <c r="H12" s="33">
        <v>10198</v>
      </c>
      <c r="I12" s="33">
        <v>4476</v>
      </c>
      <c r="J12" s="33">
        <v>25712</v>
      </c>
      <c r="L12" s="9" t="s">
        <v>97</v>
      </c>
      <c r="M12" s="33">
        <v>140300</v>
      </c>
    </row>
    <row r="13" spans="2:13" x14ac:dyDescent="0.25">
      <c r="B13" s="9" t="s">
        <v>14</v>
      </c>
      <c r="C13" s="33">
        <v>65</v>
      </c>
      <c r="E13" s="9" t="s">
        <v>10</v>
      </c>
      <c r="F13" s="33">
        <v>11160</v>
      </c>
      <c r="G13" s="33">
        <v>2642</v>
      </c>
      <c r="H13" s="33">
        <v>8506</v>
      </c>
      <c r="I13" s="33">
        <v>9024</v>
      </c>
      <c r="J13" s="33">
        <v>31332</v>
      </c>
    </row>
    <row r="14" spans="2:13" x14ac:dyDescent="0.25">
      <c r="B14" s="9" t="s">
        <v>97</v>
      </c>
      <c r="C14" s="33">
        <v>251</v>
      </c>
      <c r="E14" s="9" t="s">
        <v>30</v>
      </c>
      <c r="F14" s="33">
        <v>10262</v>
      </c>
      <c r="G14" s="33">
        <v>8536</v>
      </c>
      <c r="H14" s="33">
        <v>11482</v>
      </c>
      <c r="I14" s="33">
        <v>7543</v>
      </c>
      <c r="J14" s="33">
        <v>37823</v>
      </c>
    </row>
    <row r="15" spans="2:13" x14ac:dyDescent="0.25">
      <c r="E15" s="9" t="s">
        <v>25</v>
      </c>
      <c r="F15" s="33">
        <v>14604</v>
      </c>
      <c r="G15" s="33">
        <v>7271</v>
      </c>
      <c r="H15" s="33">
        <v>5443</v>
      </c>
      <c r="I15" s="33">
        <v>3545</v>
      </c>
      <c r="J15" s="33">
        <v>30863</v>
      </c>
    </row>
    <row r="16" spans="2:13" x14ac:dyDescent="0.25">
      <c r="E16" s="9" t="s">
        <v>97</v>
      </c>
      <c r="F16" s="33">
        <v>47541</v>
      </c>
      <c r="G16" s="33">
        <v>27798</v>
      </c>
      <c r="H16" s="33">
        <v>35629</v>
      </c>
      <c r="I16" s="33">
        <v>29332</v>
      </c>
      <c r="J16" s="33">
        <v>140300</v>
      </c>
    </row>
    <row r="19" spans="2:6" x14ac:dyDescent="0.25">
      <c r="B19" s="8" t="s">
        <v>96</v>
      </c>
      <c r="C19" t="s">
        <v>98</v>
      </c>
      <c r="E19" s="8" t="s">
        <v>96</v>
      </c>
      <c r="F19" t="s">
        <v>98</v>
      </c>
    </row>
    <row r="20" spans="2:6" x14ac:dyDescent="0.25">
      <c r="B20" s="9" t="s">
        <v>41</v>
      </c>
      <c r="C20" s="33">
        <v>14570</v>
      </c>
      <c r="E20" s="12">
        <v>45292</v>
      </c>
      <c r="F20" s="33">
        <v>2775</v>
      </c>
    </row>
    <row r="21" spans="2:6" x14ac:dyDescent="0.25">
      <c r="B21" s="9" t="s">
        <v>16</v>
      </c>
      <c r="C21" s="33">
        <v>25712</v>
      </c>
      <c r="E21" s="12">
        <v>45293</v>
      </c>
      <c r="F21" s="33">
        <v>1382</v>
      </c>
    </row>
    <row r="22" spans="2:6" x14ac:dyDescent="0.25">
      <c r="B22" s="9" t="s">
        <v>25</v>
      </c>
      <c r="C22" s="33">
        <v>30863</v>
      </c>
      <c r="E22" s="12">
        <v>45294</v>
      </c>
      <c r="F22" s="33">
        <v>809</v>
      </c>
    </row>
    <row r="23" spans="2:6" x14ac:dyDescent="0.25">
      <c r="B23" s="9" t="s">
        <v>10</v>
      </c>
      <c r="C23" s="33">
        <v>31332</v>
      </c>
      <c r="E23" s="12">
        <v>45295</v>
      </c>
      <c r="F23" s="33">
        <v>4844</v>
      </c>
    </row>
    <row r="24" spans="2:6" x14ac:dyDescent="0.25">
      <c r="B24" s="9" t="s">
        <v>30</v>
      </c>
      <c r="C24" s="33">
        <v>37823</v>
      </c>
      <c r="E24" s="12">
        <v>45296</v>
      </c>
      <c r="F24" s="33">
        <v>4513</v>
      </c>
    </row>
    <row r="25" spans="2:6" x14ac:dyDescent="0.25">
      <c r="B25" s="9" t="s">
        <v>97</v>
      </c>
      <c r="C25" s="33">
        <v>140300</v>
      </c>
      <c r="E25" s="12">
        <v>45297</v>
      </c>
      <c r="F25" s="33">
        <v>2806</v>
      </c>
    </row>
    <row r="26" spans="2:6" x14ac:dyDescent="0.25">
      <c r="E26" s="12">
        <v>45298</v>
      </c>
      <c r="F26" s="33">
        <v>4879</v>
      </c>
    </row>
    <row r="27" spans="2:6" x14ac:dyDescent="0.25">
      <c r="E27" s="12">
        <v>45299</v>
      </c>
      <c r="F27" s="33">
        <v>763</v>
      </c>
    </row>
    <row r="28" spans="2:6" x14ac:dyDescent="0.25">
      <c r="E28" s="12">
        <v>45300</v>
      </c>
      <c r="F28" s="33">
        <v>2098</v>
      </c>
    </row>
    <row r="29" spans="2:6" x14ac:dyDescent="0.25">
      <c r="E29" s="12">
        <v>45301</v>
      </c>
      <c r="F29" s="33">
        <v>3545</v>
      </c>
    </row>
    <row r="30" spans="2:6" x14ac:dyDescent="0.25">
      <c r="E30" s="12">
        <v>45302</v>
      </c>
      <c r="F30" s="33">
        <v>3843</v>
      </c>
    </row>
    <row r="31" spans="2:6" x14ac:dyDescent="0.25">
      <c r="E31" s="12">
        <v>45303</v>
      </c>
      <c r="F31" s="33">
        <v>1595</v>
      </c>
    </row>
    <row r="32" spans="2:6" x14ac:dyDescent="0.25">
      <c r="E32" s="12">
        <v>45304</v>
      </c>
      <c r="F32" s="33">
        <v>3404</v>
      </c>
    </row>
    <row r="33" spans="5:6" x14ac:dyDescent="0.25">
      <c r="E33" s="12">
        <v>45305</v>
      </c>
      <c r="F33" s="33">
        <v>3863</v>
      </c>
    </row>
    <row r="34" spans="5:6" x14ac:dyDescent="0.25">
      <c r="E34" s="12">
        <v>45306</v>
      </c>
      <c r="F34" s="33">
        <v>1953</v>
      </c>
    </row>
    <row r="35" spans="5:6" x14ac:dyDescent="0.25">
      <c r="E35" s="12">
        <v>45307</v>
      </c>
      <c r="F35" s="33">
        <v>4759</v>
      </c>
    </row>
    <row r="36" spans="5:6" x14ac:dyDescent="0.25">
      <c r="E36" s="12">
        <v>45308</v>
      </c>
      <c r="F36" s="33">
        <v>1391</v>
      </c>
    </row>
    <row r="37" spans="5:6" x14ac:dyDescent="0.25">
      <c r="E37" s="12">
        <v>45309</v>
      </c>
      <c r="F37" s="33">
        <v>3681</v>
      </c>
    </row>
    <row r="38" spans="5:6" x14ac:dyDescent="0.25">
      <c r="E38" s="12">
        <v>45310</v>
      </c>
      <c r="F38" s="33">
        <v>3557</v>
      </c>
    </row>
    <row r="39" spans="5:6" x14ac:dyDescent="0.25">
      <c r="E39" s="12">
        <v>45311</v>
      </c>
      <c r="F39" s="33">
        <v>1736</v>
      </c>
    </row>
    <row r="40" spans="5:6" x14ac:dyDescent="0.25">
      <c r="E40" s="12">
        <v>45312</v>
      </c>
      <c r="F40" s="33">
        <v>3796</v>
      </c>
    </row>
    <row r="41" spans="5:6" x14ac:dyDescent="0.25">
      <c r="E41" s="12">
        <v>45313</v>
      </c>
      <c r="F41" s="33">
        <v>3099</v>
      </c>
    </row>
    <row r="42" spans="5:6" x14ac:dyDescent="0.25">
      <c r="E42" s="12">
        <v>45314</v>
      </c>
      <c r="F42" s="33">
        <v>3252</v>
      </c>
    </row>
    <row r="43" spans="5:6" x14ac:dyDescent="0.25">
      <c r="E43" s="12">
        <v>45315</v>
      </c>
      <c r="F43" s="33">
        <v>798</v>
      </c>
    </row>
    <row r="44" spans="5:6" x14ac:dyDescent="0.25">
      <c r="E44" s="12">
        <v>45316</v>
      </c>
      <c r="F44" s="33">
        <v>2260</v>
      </c>
    </row>
    <row r="45" spans="5:6" x14ac:dyDescent="0.25">
      <c r="E45" s="12">
        <v>45317</v>
      </c>
      <c r="F45" s="33">
        <v>4197</v>
      </c>
    </row>
    <row r="46" spans="5:6" x14ac:dyDescent="0.25">
      <c r="E46" s="12">
        <v>45318</v>
      </c>
      <c r="F46" s="33">
        <v>4837</v>
      </c>
    </row>
    <row r="47" spans="5:6" x14ac:dyDescent="0.25">
      <c r="E47" s="12">
        <v>45319</v>
      </c>
      <c r="F47" s="33">
        <v>954</v>
      </c>
    </row>
    <row r="48" spans="5:6" x14ac:dyDescent="0.25">
      <c r="E48" s="12">
        <v>45320</v>
      </c>
      <c r="F48" s="33">
        <v>3574</v>
      </c>
    </row>
    <row r="49" spans="5:6" x14ac:dyDescent="0.25">
      <c r="E49" s="12">
        <v>45321</v>
      </c>
      <c r="F49" s="33">
        <v>1807</v>
      </c>
    </row>
    <row r="50" spans="5:6" x14ac:dyDescent="0.25">
      <c r="E50" s="12">
        <v>45322</v>
      </c>
      <c r="F50" s="33">
        <v>2877</v>
      </c>
    </row>
    <row r="51" spans="5:6" x14ac:dyDescent="0.25">
      <c r="E51" s="12">
        <v>45323</v>
      </c>
      <c r="F51" s="33">
        <v>1833</v>
      </c>
    </row>
    <row r="52" spans="5:6" x14ac:dyDescent="0.25">
      <c r="E52" s="12">
        <v>45324</v>
      </c>
      <c r="F52" s="33">
        <v>3610</v>
      </c>
    </row>
    <row r="53" spans="5:6" x14ac:dyDescent="0.25">
      <c r="E53" s="12">
        <v>45325</v>
      </c>
      <c r="F53" s="33">
        <v>302</v>
      </c>
    </row>
    <row r="54" spans="5:6" x14ac:dyDescent="0.25">
      <c r="E54" s="12">
        <v>45326</v>
      </c>
      <c r="F54" s="33">
        <v>3355</v>
      </c>
    </row>
    <row r="55" spans="5:6" x14ac:dyDescent="0.25">
      <c r="E55" s="12">
        <v>45327</v>
      </c>
      <c r="F55" s="33">
        <v>4318</v>
      </c>
    </row>
    <row r="56" spans="5:6" x14ac:dyDescent="0.25">
      <c r="E56" s="12">
        <v>45328</v>
      </c>
      <c r="F56" s="33">
        <v>4596</v>
      </c>
    </row>
    <row r="57" spans="5:6" x14ac:dyDescent="0.25">
      <c r="E57" s="12">
        <v>45329</v>
      </c>
      <c r="F57" s="33">
        <v>866</v>
      </c>
    </row>
    <row r="58" spans="5:6" x14ac:dyDescent="0.25">
      <c r="E58" s="12">
        <v>45330</v>
      </c>
      <c r="F58" s="33">
        <v>4489</v>
      </c>
    </row>
    <row r="59" spans="5:6" x14ac:dyDescent="0.25">
      <c r="E59" s="12">
        <v>45331</v>
      </c>
      <c r="F59" s="33">
        <v>2427</v>
      </c>
    </row>
    <row r="60" spans="5:6" x14ac:dyDescent="0.25">
      <c r="E60" s="12">
        <v>45332</v>
      </c>
      <c r="F60" s="33">
        <v>3031</v>
      </c>
    </row>
    <row r="61" spans="5:6" x14ac:dyDescent="0.25">
      <c r="E61" s="12">
        <v>45333</v>
      </c>
      <c r="F61" s="33">
        <v>297</v>
      </c>
    </row>
    <row r="62" spans="5:6" x14ac:dyDescent="0.25">
      <c r="E62" s="12">
        <v>45334</v>
      </c>
      <c r="F62" s="33">
        <v>2030</v>
      </c>
    </row>
    <row r="63" spans="5:6" x14ac:dyDescent="0.25">
      <c r="E63" s="12">
        <v>45335</v>
      </c>
      <c r="F63" s="33">
        <v>3682</v>
      </c>
    </row>
    <row r="64" spans="5:6" x14ac:dyDescent="0.25">
      <c r="E64" s="12">
        <v>45336</v>
      </c>
      <c r="F64" s="33">
        <v>708</v>
      </c>
    </row>
    <row r="65" spans="5:6" x14ac:dyDescent="0.25">
      <c r="E65" s="12">
        <v>45337</v>
      </c>
      <c r="F65" s="33">
        <v>3372</v>
      </c>
    </row>
    <row r="66" spans="5:6" x14ac:dyDescent="0.25">
      <c r="E66" s="12">
        <v>45338</v>
      </c>
      <c r="F66" s="33">
        <v>1247</v>
      </c>
    </row>
    <row r="67" spans="5:6" x14ac:dyDescent="0.25">
      <c r="E67" s="12">
        <v>45339</v>
      </c>
      <c r="F67" s="33">
        <v>4382</v>
      </c>
    </row>
    <row r="68" spans="5:6" x14ac:dyDescent="0.25">
      <c r="E68" s="12">
        <v>45340</v>
      </c>
      <c r="F68" s="33">
        <v>3497</v>
      </c>
    </row>
    <row r="69" spans="5:6" x14ac:dyDescent="0.25">
      <c r="E69" s="12">
        <v>45341</v>
      </c>
      <c r="F69" s="33">
        <v>2611</v>
      </c>
    </row>
    <row r="70" spans="5:6" x14ac:dyDescent="0.25">
      <c r="E70" s="9" t="s">
        <v>97</v>
      </c>
      <c r="F70" s="33">
        <v>140300</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2D60-634A-4C55-A0E3-0351F7B29A2F}">
  <dimension ref="A5:S28"/>
  <sheetViews>
    <sheetView zoomScale="95" zoomScaleNormal="95" workbookViewId="0">
      <selection activeCell="Q30" sqref="Q30"/>
    </sheetView>
  </sheetViews>
  <sheetFormatPr defaultRowHeight="15" x14ac:dyDescent="0.25"/>
  <cols>
    <col min="1" max="1" width="9.140625" style="16"/>
    <col min="2" max="2" width="9.28515625" style="16" customWidth="1"/>
    <col min="3" max="3" width="8" style="16" customWidth="1"/>
    <col min="4" max="13" width="9.140625" style="16"/>
    <col min="14" max="14" width="9" style="16" customWidth="1"/>
    <col min="15" max="16" width="9.140625" style="16"/>
    <col min="17" max="17" width="12.5703125" style="16" bestFit="1" customWidth="1"/>
    <col min="18" max="18" width="14.7109375" style="16" bestFit="1" customWidth="1"/>
    <col min="19" max="19" width="14.5703125" style="16" bestFit="1" customWidth="1"/>
    <col min="20" max="20" width="8" style="16" bestFit="1" customWidth="1"/>
    <col min="21" max="21" width="13.140625" style="16" bestFit="1" customWidth="1"/>
    <col min="22" max="22" width="22.28515625" style="16" bestFit="1" customWidth="1"/>
    <col min="23" max="23" width="17.42578125" style="16" bestFit="1" customWidth="1"/>
    <col min="24" max="16384" width="9.140625" style="16"/>
  </cols>
  <sheetData>
    <row r="5" spans="2:19" ht="15.75" x14ac:dyDescent="0.25">
      <c r="Q5" s="22" t="s">
        <v>4</v>
      </c>
      <c r="R5" s="21" t="s">
        <v>104</v>
      </c>
      <c r="S5" s="20" t="s">
        <v>5</v>
      </c>
    </row>
    <row r="6" spans="2:19" ht="15.75" x14ac:dyDescent="0.25">
      <c r="G6" s="17"/>
      <c r="Q6" s="13" t="s">
        <v>17</v>
      </c>
      <c r="R6" s="39"/>
      <c r="S6" s="40"/>
    </row>
    <row r="7" spans="2:19" ht="15.75" x14ac:dyDescent="0.25">
      <c r="B7" s="18"/>
      <c r="Q7" s="19" t="s">
        <v>42</v>
      </c>
      <c r="R7" s="41">
        <v>15</v>
      </c>
      <c r="S7" s="42">
        <v>11921</v>
      </c>
    </row>
    <row r="8" spans="2:19" ht="15.75" x14ac:dyDescent="0.25">
      <c r="Q8" s="19" t="s">
        <v>23</v>
      </c>
      <c r="R8" s="41">
        <v>9</v>
      </c>
      <c r="S8" s="42">
        <v>8216</v>
      </c>
    </row>
    <row r="9" spans="2:19" ht="15.75" x14ac:dyDescent="0.25">
      <c r="Q9" s="19" t="s">
        <v>19</v>
      </c>
      <c r="R9" s="41">
        <v>17</v>
      </c>
      <c r="S9" s="42">
        <v>13593</v>
      </c>
    </row>
    <row r="10" spans="2:19" ht="15.75" x14ac:dyDescent="0.25">
      <c r="Q10" s="19" t="s">
        <v>14</v>
      </c>
      <c r="R10" s="41">
        <v>15</v>
      </c>
      <c r="S10" s="42">
        <v>2010</v>
      </c>
    </row>
    <row r="11" spans="2:19" ht="15.75" x14ac:dyDescent="0.25">
      <c r="Q11" s="14" t="s">
        <v>12</v>
      </c>
      <c r="R11" s="43"/>
      <c r="S11" s="44"/>
    </row>
    <row r="12" spans="2:19" ht="15.75" x14ac:dyDescent="0.25">
      <c r="Q12" s="19" t="s">
        <v>42</v>
      </c>
      <c r="R12" s="41">
        <v>18</v>
      </c>
      <c r="S12" s="42">
        <v>13587</v>
      </c>
    </row>
    <row r="13" spans="2:19" ht="15.75" x14ac:dyDescent="0.25">
      <c r="Q13" s="19" t="s">
        <v>23</v>
      </c>
      <c r="R13" s="41">
        <v>13</v>
      </c>
      <c r="S13" s="42">
        <v>8404</v>
      </c>
    </row>
    <row r="14" spans="2:19" ht="15.75" x14ac:dyDescent="0.25">
      <c r="Q14" s="19" t="s">
        <v>19</v>
      </c>
      <c r="R14" s="41">
        <v>4</v>
      </c>
      <c r="S14" s="42">
        <v>2098</v>
      </c>
    </row>
    <row r="15" spans="2:19" ht="15.75" x14ac:dyDescent="0.25">
      <c r="Q15" s="19" t="s">
        <v>14</v>
      </c>
      <c r="R15" s="41">
        <v>28</v>
      </c>
      <c r="S15" s="42">
        <v>11737</v>
      </c>
    </row>
    <row r="16" spans="2:19" ht="15.75" x14ac:dyDescent="0.25">
      <c r="Q16" s="14" t="s">
        <v>21</v>
      </c>
      <c r="R16" s="43"/>
      <c r="S16" s="44"/>
    </row>
    <row r="17" spans="1:19" ht="15.75" x14ac:dyDescent="0.25">
      <c r="Q17" s="19" t="s">
        <v>42</v>
      </c>
      <c r="R17" s="41">
        <v>32</v>
      </c>
      <c r="S17" s="42">
        <v>9668</v>
      </c>
    </row>
    <row r="18" spans="1:19" ht="15.75" x14ac:dyDescent="0.25">
      <c r="Q18" s="19" t="s">
        <v>23</v>
      </c>
      <c r="R18" s="41">
        <v>16</v>
      </c>
      <c r="S18" s="42">
        <v>2944</v>
      </c>
    </row>
    <row r="19" spans="1:19" ht="15.75" x14ac:dyDescent="0.25">
      <c r="Q19" s="19" t="s">
        <v>19</v>
      </c>
      <c r="R19" s="41">
        <v>12</v>
      </c>
      <c r="S19" s="42">
        <v>4197</v>
      </c>
    </row>
    <row r="20" spans="1:19" ht="15.75" x14ac:dyDescent="0.25">
      <c r="A20" s="23"/>
      <c r="B20" s="23"/>
      <c r="C20" s="23"/>
      <c r="D20" s="23"/>
      <c r="Q20" s="19" t="s">
        <v>14</v>
      </c>
      <c r="R20" s="41">
        <v>19</v>
      </c>
      <c r="S20" s="42">
        <v>12088</v>
      </c>
    </row>
    <row r="21" spans="1:19" ht="15.75" x14ac:dyDescent="0.25">
      <c r="A21" s="23"/>
      <c r="B21" s="23"/>
      <c r="C21" s="23"/>
      <c r="D21" s="23"/>
      <c r="Q21" s="14" t="s">
        <v>32</v>
      </c>
      <c r="R21" s="43"/>
      <c r="S21" s="44"/>
    </row>
    <row r="22" spans="1:19" ht="15.75" x14ac:dyDescent="0.25">
      <c r="A22" s="23"/>
      <c r="B22" s="23"/>
      <c r="C22" s="23"/>
      <c r="D22" s="23"/>
      <c r="Q22" s="19" t="s">
        <v>42</v>
      </c>
      <c r="R22" s="41">
        <v>14</v>
      </c>
      <c r="S22" s="42">
        <v>12365</v>
      </c>
    </row>
    <row r="23" spans="1:19" ht="15.75" x14ac:dyDescent="0.25">
      <c r="A23" s="23"/>
      <c r="B23" s="23"/>
      <c r="C23" s="23"/>
      <c r="D23" s="23"/>
      <c r="Q23" s="19" t="s">
        <v>23</v>
      </c>
      <c r="R23" s="41">
        <v>7</v>
      </c>
      <c r="S23" s="42">
        <v>8234</v>
      </c>
    </row>
    <row r="24" spans="1:19" ht="15.75" x14ac:dyDescent="0.25">
      <c r="A24" s="23"/>
      <c r="B24" s="23"/>
      <c r="C24" s="23"/>
      <c r="D24" s="23"/>
      <c r="Q24" s="19" t="s">
        <v>19</v>
      </c>
      <c r="R24" s="41">
        <v>29</v>
      </c>
      <c r="S24" s="42">
        <v>15741</v>
      </c>
    </row>
    <row r="25" spans="1:19" ht="15.75" x14ac:dyDescent="0.25">
      <c r="A25" s="23"/>
      <c r="B25" s="23"/>
      <c r="C25" s="23"/>
      <c r="D25" s="23"/>
      <c r="Q25" s="19" t="s">
        <v>14</v>
      </c>
      <c r="R25" s="41">
        <v>3</v>
      </c>
      <c r="S25" s="42">
        <v>3497</v>
      </c>
    </row>
    <row r="26" spans="1:19" ht="15.75" x14ac:dyDescent="0.25">
      <c r="A26" s="23"/>
      <c r="B26" s="23"/>
      <c r="C26" s="23"/>
      <c r="D26" s="23"/>
      <c r="Q26" s="15" t="s">
        <v>97</v>
      </c>
      <c r="R26" s="38">
        <v>251</v>
      </c>
      <c r="S26" s="37">
        <v>140300</v>
      </c>
    </row>
    <row r="27" spans="1:19" ht="15.75" x14ac:dyDescent="0.25">
      <c r="A27" s="23"/>
      <c r="B27" s="23"/>
      <c r="C27" s="23"/>
      <c r="D27" s="23"/>
    </row>
    <row r="28" spans="1:19" ht="15.75" x14ac:dyDescent="0.25">
      <c r="A28" s="23"/>
      <c r="B28" s="23"/>
      <c r="C28" s="23"/>
      <c r="D28" s="2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925E-F5B2-4B0D-AA87-EE8E123D01D0}">
  <dimension ref="A1:A38"/>
  <sheetViews>
    <sheetView workbookViewId="0">
      <selection activeCell="A36" sqref="A36"/>
    </sheetView>
  </sheetViews>
  <sheetFormatPr defaultRowHeight="15" x14ac:dyDescent="0.25"/>
  <cols>
    <col min="1" max="1" width="107" style="4" customWidth="1"/>
    <col min="2" max="16384" width="9.140625" style="4"/>
  </cols>
  <sheetData>
    <row r="1" spans="1:1" ht="23.25" x14ac:dyDescent="0.25">
      <c r="A1" s="36" t="s">
        <v>105</v>
      </c>
    </row>
    <row r="2" spans="1:1" ht="18.75" x14ac:dyDescent="0.25">
      <c r="A2" s="45" t="s">
        <v>100</v>
      </c>
    </row>
    <row r="3" spans="1:1" ht="18.75" x14ac:dyDescent="0.3">
      <c r="A3" s="46" t="s">
        <v>117</v>
      </c>
    </row>
    <row r="4" spans="1:1" ht="18.75" x14ac:dyDescent="0.3">
      <c r="A4" s="46"/>
    </row>
    <row r="5" spans="1:1" ht="18.75" x14ac:dyDescent="0.25">
      <c r="A5" s="45" t="s">
        <v>101</v>
      </c>
    </row>
    <row r="6" spans="1:1" ht="18.75" x14ac:dyDescent="0.3">
      <c r="A6" s="46" t="s">
        <v>106</v>
      </c>
    </row>
    <row r="7" spans="1:1" ht="18.75" x14ac:dyDescent="0.3">
      <c r="A7" s="46"/>
    </row>
    <row r="8" spans="1:1" ht="18.75" x14ac:dyDescent="0.25">
      <c r="A8" s="45" t="s">
        <v>128</v>
      </c>
    </row>
    <row r="9" spans="1:1" ht="18.75" x14ac:dyDescent="0.3">
      <c r="A9" s="46" t="s">
        <v>107</v>
      </c>
    </row>
    <row r="10" spans="1:1" ht="18.75" x14ac:dyDescent="0.3">
      <c r="A10" s="46"/>
    </row>
    <row r="11" spans="1:1" ht="18.75" x14ac:dyDescent="0.25">
      <c r="A11" s="45" t="s">
        <v>129</v>
      </c>
    </row>
    <row r="12" spans="1:1" ht="18.75" x14ac:dyDescent="0.3">
      <c r="A12" s="46" t="s">
        <v>130</v>
      </c>
    </row>
    <row r="14" spans="1:1" ht="23.25" x14ac:dyDescent="0.25">
      <c r="A14" s="36" t="s">
        <v>118</v>
      </c>
    </row>
    <row r="15" spans="1:1" ht="18.75" x14ac:dyDescent="0.25">
      <c r="A15" s="45" t="s">
        <v>131</v>
      </c>
    </row>
    <row r="16" spans="1:1" ht="18.75" x14ac:dyDescent="0.3">
      <c r="A16" s="46" t="s">
        <v>119</v>
      </c>
    </row>
    <row r="17" spans="1:1" ht="18.75" x14ac:dyDescent="0.3">
      <c r="A17" s="46" t="s">
        <v>108</v>
      </c>
    </row>
    <row r="18" spans="1:1" ht="18.75" x14ac:dyDescent="0.3">
      <c r="A18" s="46"/>
    </row>
    <row r="19" spans="1:1" ht="18.75" x14ac:dyDescent="0.25">
      <c r="A19" s="45" t="s">
        <v>120</v>
      </c>
    </row>
    <row r="20" spans="1:1" ht="18.75" x14ac:dyDescent="0.3">
      <c r="A20" s="46" t="s">
        <v>121</v>
      </c>
    </row>
    <row r="21" spans="1:1" ht="18.75" x14ac:dyDescent="0.3">
      <c r="A21" s="46" t="s">
        <v>109</v>
      </c>
    </row>
    <row r="22" spans="1:1" ht="18.75" x14ac:dyDescent="0.3">
      <c r="A22" s="46"/>
    </row>
    <row r="23" spans="1:1" ht="18.75" x14ac:dyDescent="0.25">
      <c r="A23" s="45" t="s">
        <v>122</v>
      </c>
    </row>
    <row r="24" spans="1:1" ht="18.75" x14ac:dyDescent="0.3">
      <c r="A24" s="46" t="s">
        <v>110</v>
      </c>
    </row>
    <row r="25" spans="1:1" ht="18.75" x14ac:dyDescent="0.3">
      <c r="A25" s="46" t="s">
        <v>111</v>
      </c>
    </row>
    <row r="26" spans="1:1" ht="18.75" x14ac:dyDescent="0.3">
      <c r="A26" s="46"/>
    </row>
    <row r="27" spans="1:1" ht="18.75" x14ac:dyDescent="0.25">
      <c r="A27" s="45" t="s">
        <v>123</v>
      </c>
    </row>
    <row r="28" spans="1:1" ht="18.75" x14ac:dyDescent="0.3">
      <c r="A28" s="46" t="s">
        <v>124</v>
      </c>
    </row>
    <row r="29" spans="1:1" ht="18.75" x14ac:dyDescent="0.3">
      <c r="A29" s="46" t="s">
        <v>112</v>
      </c>
    </row>
    <row r="31" spans="1:1" ht="23.25" x14ac:dyDescent="0.25">
      <c r="A31" s="36" t="s">
        <v>127</v>
      </c>
    </row>
    <row r="32" spans="1:1" ht="18.75" x14ac:dyDescent="0.25">
      <c r="A32" s="45" t="s">
        <v>125</v>
      </c>
    </row>
    <row r="33" spans="1:1" ht="18.75" x14ac:dyDescent="0.3">
      <c r="A33" s="46" t="s">
        <v>113</v>
      </c>
    </row>
    <row r="34" spans="1:1" ht="18.75" x14ac:dyDescent="0.3">
      <c r="A34" s="46" t="s">
        <v>114</v>
      </c>
    </row>
    <row r="35" spans="1:1" ht="18.75" x14ac:dyDescent="0.3">
      <c r="A35" s="46"/>
    </row>
    <row r="36" spans="1:1" ht="18.75" x14ac:dyDescent="0.25">
      <c r="A36" s="45" t="s">
        <v>126</v>
      </c>
    </row>
    <row r="37" spans="1:1" ht="18.75" x14ac:dyDescent="0.3">
      <c r="A37" s="46" t="s">
        <v>115</v>
      </c>
    </row>
    <row r="38" spans="1:1" ht="18.75" x14ac:dyDescent="0.3">
      <c r="A38" s="46"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91B3B3-B12A-4081-A217-189525DD3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Pivot Tables</vt:lpstr>
      <vt:lpstr>Dashboard</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Aaquib Jawed</dc:creator>
  <cp:lastModifiedBy>Sumaya Mateen</cp:lastModifiedBy>
  <dcterms:created xsi:type="dcterms:W3CDTF">2025-06-10T09:07:48Z</dcterms:created>
  <dcterms:modified xsi:type="dcterms:W3CDTF">2025-07-11T17:56:31Z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2025-06-10T09:08:03Z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53504296-7720-411b-a041-794b955fe5fe</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