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D:\Meta Data Analyst Course\2_Data_Analysis_with_Spreadsheets_and_SQL\"/>
    </mc:Choice>
  </mc:AlternateContent>
  <xr:revisionPtr revIDLastSave="0" documentId="13_ncr:1_{3702CC69-A7B7-401E-938E-84EC61DBD69F}" xr6:coauthVersionLast="47" xr6:coauthVersionMax="47" xr10:uidLastSave="{00000000-0000-0000-0000-000000000000}"/>
  <bookViews>
    <workbookView xWindow="-120" yWindow="-120" windowWidth="20730" windowHeight="11160" tabRatio="667" activeTab="4" xr2:uid="{00000000-000D-0000-FFFF-FFFF00000000}"/>
  </bookViews>
  <sheets>
    <sheet name="Customer Data" sheetId="6" r:id="rId1"/>
    <sheet name="Clean Data" sheetId="1" r:id="rId2"/>
    <sheet name="Exploring Data Numerically" sheetId="2" r:id="rId3"/>
    <sheet name="Exploring Data Visually" sheetId="31" r:id="rId4"/>
    <sheet name="Model Data" sheetId="3" r:id="rId5"/>
  </sheets>
  <definedNames>
    <definedName name="_xlnm._FilterDatabase" localSheetId="1" hidden="1">'Clean Data'!$A$1:$J$46</definedName>
    <definedName name="_xlnm._FilterDatabase" localSheetId="0" hidden="1">'Customer Data'!$A$1:$H$54</definedName>
    <definedName name="_xlcn.WorksheetConnection_CleanDataA1K461" hidden="1">'Clean Data'!$A$1:$J$46</definedName>
  </definedNames>
  <calcPr calcId="191029"/>
  <pivotCaches>
    <pivotCache cacheId="189" r:id="rId6"/>
    <pivotCache cacheId="190" r:id="rId7"/>
    <pivotCache cacheId="196" r:id="rId8"/>
    <pivotCache cacheId="215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lean Data!$A$1:$K$46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InvoiceDate" columnId="InvoiceDate">
                <x16:calculatedTimeColumn columnName="InvoiceDate (Hour)" columnId="InvoiceDate (Hour)" contentType="hours" isSelected="1"/>
                <x16:calculatedTimeColumn columnName="InvoiceDate (Minute)" columnId="InvoiceDate (Minute)" contentType="minute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B12" i="3"/>
  <c r="D5" i="3"/>
  <c r="B5" i="3"/>
  <c r="B16" i="2"/>
  <c r="B15" i="2"/>
  <c r="B14" i="2"/>
  <c r="B13" i="2"/>
  <c r="B12" i="2"/>
  <c r="B11" i="2"/>
  <c r="B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CA3267-B3BE-49F3-9DB3-0F129F9A321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74C7D0B-8672-4E26-A103-2393CD5C51A7}" name="WorksheetConnection_Clean Data!$A$1:$K$4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DataA1K461"/>
        </x15:connection>
      </ext>
    </extLst>
  </connection>
</connections>
</file>

<file path=xl/sharedStrings.xml><?xml version="1.0" encoding="utf-8"?>
<sst xmlns="http://schemas.openxmlformats.org/spreadsheetml/2006/main" count="444" uniqueCount="179">
  <si>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</si>
  <si>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</si>
  <si>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</si>
  <si>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</si>
  <si>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</si>
  <si>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</si>
  <si>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</si>
  <si>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</si>
  <si>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BATHROOM METAL SIGN</t>
  </si>
  <si>
    <t>United Kingdom</t>
  </si>
  <si>
    <t>PACK OF 60 PINK PAISLEY CAKE CASES</t>
  </si>
  <si>
    <t>85226C</t>
  </si>
  <si>
    <t>BLUE PULL BACK RACING CAR</t>
  </si>
  <si>
    <t>35751C</t>
  </si>
  <si>
    <t>PURPLE CURRENT CANDLE RING</t>
  </si>
  <si>
    <t>EIRE</t>
  </si>
  <si>
    <t>35916B</t>
  </si>
  <si>
    <t>BLUE FELT HANGING HEART W FLOWER</t>
  </si>
  <si>
    <t>85231E</t>
  </si>
  <si>
    <t>STRAWBERRY SCENTED SET/9 T-LIGHTS</t>
  </si>
  <si>
    <t>84970S</t>
  </si>
  <si>
    <t>HANGING HEART ZINC T-LIGHT HOLDER</t>
  </si>
  <si>
    <t>REX CASH+CARRY JUMBO SHOPPER</t>
  </si>
  <si>
    <t>SAVE THE PLANET MUG</t>
  </si>
  <si>
    <t>Australia</t>
  </si>
  <si>
    <t>85049E</t>
  </si>
  <si>
    <t>SCANDINAVIAN REDS RIBBONS</t>
  </si>
  <si>
    <t>Germany</t>
  </si>
  <si>
    <t>DOOR HANGER MUM + DADS ROOM</t>
  </si>
  <si>
    <t>ASSORTED COLOUR BIRD ORNAMENT</t>
  </si>
  <si>
    <t>HEART MEASURING SPOONS LARGE</t>
  </si>
  <si>
    <t>47591D</t>
  </si>
  <si>
    <t>PINK FAIRY CAKE CHILD'S APRON</t>
  </si>
  <si>
    <t>LOO ROLL METAL SIGN</t>
  </si>
  <si>
    <t>SET OF MEADOW FLOWER STICKERS</t>
  </si>
  <si>
    <t>RECORD FRAME 7" SINGLE SIZE</t>
  </si>
  <si>
    <t>CHRISTMAS CRAFT HEART DECORATIONS</t>
  </si>
  <si>
    <t>POTTING SHED TWINE</t>
  </si>
  <si>
    <t>FELTCRAFT 6 FLOWER FRIENDS</t>
  </si>
  <si>
    <t>CAT BOWL</t>
  </si>
  <si>
    <t>RED HANGING HEART T-LIGHT HOLDER</t>
  </si>
  <si>
    <t>KISS REINDEER SCANDINAVIAN STOCKING</t>
  </si>
  <si>
    <t>WASH BAG VINTAGE ROSE PAISLEY</t>
  </si>
  <si>
    <t>COFFEE MUG DOG + BALL DESIGN</t>
  </si>
  <si>
    <t>84032A</t>
  </si>
  <si>
    <t>CHARLIE+LOLA PINK HOT WATER BOTTLE</t>
  </si>
  <si>
    <t>16207A</t>
  </si>
  <si>
    <t>PINK STRAWBERRY HANDBAG</t>
  </si>
  <si>
    <t>GREY HEART HOT WATER BOTTLE</t>
  </si>
  <si>
    <t>GREY FLORAL FELTCRAFT SHOULDER BAG</t>
  </si>
  <si>
    <t>BAKING SET 9 PIECE RETROSPOT</t>
  </si>
  <si>
    <t>GOLD WINE GOBLET</t>
  </si>
  <si>
    <t>90200E</t>
  </si>
  <si>
    <t>GREEN SWEETHEART BRACELET</t>
  </si>
  <si>
    <t>90185C</t>
  </si>
  <si>
    <t>BLACK DIAMANTE EXPANDABLE RING</t>
  </si>
  <si>
    <t>DAIRY MAID CERAMIC BUTTER DISH</t>
  </si>
  <si>
    <t>72803A</t>
  </si>
  <si>
    <t>ROSE SCENT CANDLE JEWELLED DRAWER</t>
  </si>
  <si>
    <t>France</t>
  </si>
  <si>
    <t>SCOTTIE DOG HOT WATER BOTTLE</t>
  </si>
  <si>
    <t>FOLDING UMBRELLA , BLACK/BLUE SPOT</t>
  </si>
  <si>
    <t>48173C</t>
  </si>
  <si>
    <t>DOOR MAT BLACK FLOCK</t>
  </si>
  <si>
    <t>DOOR MAT FAIRY CAKE</t>
  </si>
  <si>
    <t>WOOLLY HAT SOCK GLOVE ADVENT STRING</t>
  </si>
  <si>
    <t>15CM CHRISTMAS GLASS BALL 20 LIGHTS</t>
  </si>
  <si>
    <t>72760B</t>
  </si>
  <si>
    <t>VINTAGE CREAM 3 BASKET CAKE STAND</t>
  </si>
  <si>
    <t>SET/3 TALL GLASS CANDLE HOLDER PINK</t>
  </si>
  <si>
    <t>Total Price</t>
  </si>
  <si>
    <t>Explore the data </t>
  </si>
  <si>
    <t>The dataset is now scrubbed and you can review it to gather insight. Refer back to the videos in this lesson for a refresher. Use the spreadsheet functions to explore the data, including: </t>
  </si>
  <si>
    <t>Calculating totals Price</t>
  </si>
  <si>
    <t>Calculating averages and findings medians of Price</t>
  </si>
  <si>
    <t>Finding maximum and minimum values of Price</t>
  </si>
  <si>
    <t>Determining correlations by finding the correlation coefficient (CORREL) b/w Price &amp; Quantity &amp; Invoice Date &amp; Price</t>
  </si>
  <si>
    <t>Linear Regression</t>
  </si>
  <si>
    <t>So slope form is:</t>
  </si>
  <si>
    <t>Key Insights:</t>
  </si>
  <si>
    <t>1. Price-Quantity Relationship</t>
  </si>
  <si>
    <t>2. Economic Meaning:</t>
  </si>
  <si>
    <t>Intercept (3.3124): When Quantity = 0, the expected Price is ~3.31</t>
  </si>
  <si>
    <t>For x = 900 (Quantity = 900):</t>
  </si>
  <si>
    <t>1. Price Distribution</t>
  </si>
  <si>
    <t>2. Price Range &amp; Spread</t>
  </si>
  <si>
    <t>3. Correlation Analysis:</t>
  </si>
  <si>
    <t>Weak negative correlation</t>
  </si>
  <si>
    <t>As quantity increases, price tends to decrease slightly</t>
  </si>
  <si>
    <t>Confirms the demand curve relationship from your regression</t>
  </si>
  <si>
    <t>Very weak positive correlation</t>
  </si>
  <si>
    <t>Slight tendency for prices to increase over time, but not significant</t>
  </si>
  <si>
    <t>This means there are some high-priced outliers pulling the average up</t>
  </si>
  <si>
    <t>Count of Country</t>
  </si>
  <si>
    <t>7 AM</t>
  </si>
  <si>
    <t>9 AM</t>
  </si>
  <si>
    <t>10 AM</t>
  </si>
  <si>
    <t>11 AM</t>
  </si>
  <si>
    <t>12 PM</t>
  </si>
  <si>
    <t>Revenue &amp; Customer Analysis Summary:</t>
  </si>
  <si>
    <t>1. Geographic Concentration:</t>
  </si>
  <si>
    <t>2. Daily Sales Pattern:</t>
  </si>
  <si>
    <t>3. Key Business Implications:</t>
  </si>
  <si>
    <t>Limited international presence: Germany (5%), France (4%), Australia &amp; EIRE (2% each)</t>
  </si>
  <si>
    <t>Risk: Over-dependence on single market</t>
  </si>
  <si>
    <t>Peak at 12 PM (~65), second peak at 11 AM (~55)</t>
  </si>
  <si>
    <t>Morning buildup: Sales increase from 7 AM to noon</t>
  </si>
  <si>
    <t>Opportunity: Focus resources on 11 AM - 12 PM window</t>
  </si>
  <si>
    <t>Strength: Strong UK market penetration</t>
  </si>
  <si>
    <t>Weakness: Lack of geographic diversification</t>
  </si>
  <si>
    <t>Opportunity: Optimize midday operations &amp; expand internationally</t>
  </si>
  <si>
    <t xml:space="preserve"> UK dominates both customer count 87% of customers &amp; by price</t>
  </si>
  <si>
    <t>3. Your Specific Calculation:</t>
  </si>
  <si>
    <t>Negative slope (-0.0029): As Quantity increases, Price decreases</t>
  </si>
  <si>
    <t>This is a typical demand curve - higher quantities correlate with lower prices</t>
  </si>
  <si>
    <t>Slope (-0.0029): For every 1 unit increase in Quantity, Price decreases by 0.0029 units</t>
  </si>
  <si>
    <t>This means at 900 units, the expected price is about 0.67</t>
  </si>
  <si>
    <t>Average Price</t>
  </si>
  <si>
    <t>Median of Price</t>
  </si>
  <si>
    <t>Maximum Price</t>
  </si>
  <si>
    <t>Minimum Price</t>
  </si>
  <si>
    <t>Correlation(Price &amp; Quantity)</t>
  </si>
  <si>
    <t>Correlation(Invoice Date &amp; Price)</t>
  </si>
  <si>
    <t>POST</t>
  </si>
  <si>
    <t>POSTAGE</t>
  </si>
  <si>
    <t>USA</t>
  </si>
  <si>
    <t>Belgium</t>
  </si>
  <si>
    <t>C489449</t>
  </si>
  <si>
    <t>C489459</t>
  </si>
  <si>
    <t>85123a mixed</t>
  </si>
  <si>
    <t>85123A</t>
  </si>
  <si>
    <t>21733 mixed</t>
  </si>
  <si>
    <t>C489476</t>
  </si>
  <si>
    <t>C489503</t>
  </si>
  <si>
    <t>C489504</t>
  </si>
  <si>
    <t>C489518</t>
  </si>
  <si>
    <t>C489527</t>
  </si>
  <si>
    <t>C489528</t>
  </si>
  <si>
    <t>C489530</t>
  </si>
  <si>
    <t>C489534</t>
  </si>
  <si>
    <t>Cleaning Logic:</t>
  </si>
  <si>
    <t>Remove the duplicate records</t>
  </si>
  <si>
    <t>Converted Excel date serial numbers to readable date-time format</t>
  </si>
  <si>
    <t>Removed all cancelled orders (C-prefixed invoices)</t>
  </si>
  <si>
    <t>Excluded postage, refunds, and zero-value transactions</t>
  </si>
  <si>
    <t>Most prices cluster around $2.1 or less</t>
  </si>
  <si>
    <t>Revenue</t>
  </si>
  <si>
    <t>Grand Total</t>
  </si>
  <si>
    <t>Sum of Revenue</t>
  </si>
  <si>
    <t>Time</t>
  </si>
  <si>
    <t>Right-skewed distribution: Average ($3.2) &gt; Median ($2.6)</t>
  </si>
  <si>
    <t>let x=900</t>
  </si>
  <si>
    <t>y=-0.002936x+3.31</t>
  </si>
  <si>
    <t>Your calculation shows Price ≈ 0.6676</t>
  </si>
  <si>
    <t>Products</t>
  </si>
  <si>
    <t>Wide range: $0.55 to $12.75 (12.20 range)</t>
  </si>
  <si>
    <t>Price vs. Quantity: -0.139</t>
  </si>
  <si>
    <t>Price vs. Invoice Date: 0.108</t>
  </si>
  <si>
    <t>Make 2 calculated columns Time &amp; Revenue</t>
  </si>
  <si>
    <t>1. Revenue by Time of Day</t>
  </si>
  <si>
    <r>
      <t>Peak</t>
    </r>
    <r>
      <rPr>
        <sz val="12"/>
        <color rgb="FF0F1115"/>
        <rFont val="Segoe UI"/>
        <family val="2"/>
      </rPr>
      <t>: 12 PM ($1,400-1,600) &amp; 11 AM ($1,200-1,400)</t>
    </r>
  </si>
  <si>
    <r>
      <t>Morning buildup</t>
    </r>
    <r>
      <rPr>
        <sz val="12"/>
        <color rgb="FF0F1115"/>
        <rFont val="Segoe UI"/>
        <family val="2"/>
      </rPr>
      <t> from 7 AM to noon</t>
    </r>
  </si>
  <si>
    <r>
      <t>Action</t>
    </r>
    <r>
      <rPr>
        <sz val="12"/>
        <color rgb="FF0F1115"/>
        <rFont val="Segoe UI"/>
        <family val="2"/>
      </rPr>
      <t>: Focus staffing/marketing on 11 AM - 12 PM window</t>
    </r>
  </si>
  <si>
    <t>2. Geographic Revenue Concentration</t>
  </si>
  <si>
    <r>
      <t>UK dominates</t>
    </r>
    <r>
      <rPr>
        <sz val="12"/>
        <color rgb="FF0F1115"/>
        <rFont val="Segoe UI"/>
        <family val="2"/>
      </rPr>
      <t>: 95%+ of total revenue ($2,232.75)</t>
    </r>
  </si>
  <si>
    <r>
      <t>International underperformance</t>
    </r>
    <r>
      <rPr>
        <sz val="12"/>
        <color rgb="FF0F1115"/>
        <rFont val="Segoe UI"/>
        <family val="2"/>
      </rPr>
      <t>: France ($50), Germany ($28), Australia ($15), EIRE ($9)</t>
    </r>
  </si>
  <si>
    <r>
      <t>Risk</t>
    </r>
    <r>
      <rPr>
        <sz val="12"/>
        <color rgb="FF0F1115"/>
        <rFont val="Segoe UI"/>
        <family val="2"/>
      </rPr>
      <t>: Extreme single-market dependency</t>
    </r>
  </si>
  <si>
    <t>3. Customer Distribution</t>
  </si>
  <si>
    <r>
      <t>UK</t>
    </r>
    <r>
      <rPr>
        <sz val="12"/>
        <color rgb="FF0F1115"/>
        <rFont val="Segoe UI"/>
        <family val="2"/>
      </rPr>
      <t>: 87% of customer base</t>
    </r>
  </si>
  <si>
    <r>
      <t>International</t>
    </r>
    <r>
      <rPr>
        <sz val="12"/>
        <color rgb="FF0F1115"/>
        <rFont val="Segoe UI"/>
        <family val="2"/>
      </rPr>
      <t>: 13% spread across 4 markets</t>
    </r>
  </si>
  <si>
    <r>
      <t>Issue</t>
    </r>
    <r>
      <rPr>
        <sz val="12"/>
        <color rgb="FF0F1115"/>
        <rFont val="Segoe UI"/>
        <family val="2"/>
      </rPr>
      <t>: International customers show lower spending value</t>
    </r>
  </si>
  <si>
    <t>4. Top Products Performance</t>
  </si>
  <si>
    <r>
      <t>Leader</t>
    </r>
    <r>
      <rPr>
        <sz val="12"/>
        <color rgb="FF0F1115"/>
        <rFont val="Segoe UI"/>
        <family val="2"/>
      </rPr>
      <t>: ASSORTED COLOUR BIRD ORNAMENT (~$1,100-1,200)</t>
    </r>
  </si>
  <si>
    <r>
      <t>Category strength</t>
    </r>
    <r>
      <rPr>
        <sz val="12"/>
        <color rgb="FF0F1115"/>
        <rFont val="Segoe UI"/>
        <family val="2"/>
      </rPr>
      <t>: 7 of top 10 products in home/kitchen</t>
    </r>
  </si>
  <si>
    <r>
      <t>Price diversity</t>
    </r>
    <r>
      <rPr>
        <sz val="12"/>
        <color rgb="FF0F1115"/>
        <rFont val="Segoe UI"/>
        <family val="2"/>
      </rPr>
      <t>: Mix of premium and mid-range items</t>
    </r>
  </si>
  <si>
    <t>Key Business Implications:</t>
  </si>
  <si>
    <r>
      <t>Strengths</t>
    </r>
    <r>
      <rPr>
        <sz val="12"/>
        <color rgb="FF0F1115"/>
        <rFont val="Segoe UI"/>
        <family val="2"/>
      </rPr>
      <t>: Strong UK penetration, clear peak hours, winning product categories</t>
    </r>
  </si>
  <si>
    <r>
      <t>Weaknesses</t>
    </r>
    <r>
      <rPr>
        <sz val="12"/>
        <color rgb="FF0F1115"/>
        <rFont val="Segoe UI"/>
        <family val="2"/>
      </rPr>
      <t>: Geographic over-dependence, international underperformance</t>
    </r>
  </si>
  <si>
    <r>
      <t>Opportunities</t>
    </r>
    <r>
      <rPr>
        <sz val="12"/>
        <color rgb="FF0F1115"/>
        <rFont val="Segoe UI"/>
        <family val="2"/>
      </rPr>
      <t>: European expansion, peak hour optimization, category expansion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</si>
</sst>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rgb="FF0F1115"/>
      <name val="Calibri"/>
      <family val="2"/>
    </font>
    <font>
      <sz val="12"/>
      <color rgb="FF0F1115"/>
      <name val="Calibri"/>
      <family val="2"/>
    </font>
    <font>
      <b/>
      <sz val="12"/>
      <color rgb="FF0F1115"/>
      <name val="Calibri"/>
      <family val="2"/>
    </font>
    <font>
      <b/>
      <sz val="14"/>
      <color rgb="FF0F1115"/>
      <name val="Calibri"/>
      <family val="2"/>
    </font>
    <font>
      <sz val="12"/>
      <color rgb="FF0F1114"/>
      <name val="Calibri"/>
      <family val="2"/>
    </font>
    <font>
      <b/>
      <sz val="14"/>
      <color rgb="FF0F1114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29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right"/>
    </xf>
    <xf numFmtId="0" fontId="0" fillId="0" borderId="0" xfId="0" pivotButton="1"/>
    <xf numFmtId="0" fontId="12" fillId="0" borderId="0" xfId="0" applyFont="1"/>
    <xf numFmtId="164" fontId="12" fillId="0" borderId="0" xfId="0" applyNumberFormat="1" applyFont="1"/>
    <xf numFmtId="0" fontId="13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vertical="center" wrapText="1"/>
    </xf>
    <xf numFmtId="0" fontId="0" fillId="0" borderId="0" xfId="0"/>
    <xf numFmtId="0" fontId="8" fillId="0" borderId="0" xfId="0" applyFont="1" applyAlignment="1">
      <alignment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13" fillId="0" borderId="0" xfId="0" applyFont="1"/>
    <xf numFmtId="0" fontId="6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 indent="1"/>
    </xf>
  </cellXfs>
  <cellStyles count="2">
    <cellStyle name="Normal" xfId="0" builtinId="0"/>
    <cellStyle name="Normal 2" xfId="1" xr:uid="{BAADCEF1-E26D-430D-8A12-FABDFAE98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Revenue by Time of Day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'Exploring Data Visually'!$B$3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'Exploring Data Visually'!$A$4:$A$9</c:f>
              <c:strCache>
                <c:ptCount val="5"/>
                <c:pt idx="0">
                  <c:v>7 AM</c:v>
                </c:pt>
                <c:pt idx="1">
                  <c:v>9 AM</c:v>
                </c:pt>
                <c:pt idx="2">
                  <c:v>10 AM</c:v>
                </c:pt>
                <c:pt idx="3">
                  <c:v>11 AM</c:v>
                </c:pt>
                <c:pt idx="4">
                  <c:v>12 PM</c:v>
                </c:pt>
              </c:strCache>
            </c:strRef>
          </c:cat>
          <c:val>
            <c:numRef>
              <c:f>'Exploring Data Visually'!$B$4:$B$9</c:f>
              <c:numCache>
                <c:formatCode>General</c:formatCode>
                <c:ptCount val="5"/>
                <c:pt idx="0">
                  <c:v>140.4</c:v>
                </c:pt>
                <c:pt idx="1">
                  <c:v>244.9</c:v>
                </c:pt>
                <c:pt idx="2">
                  <c:v>457</c:v>
                </c:pt>
                <c:pt idx="3">
                  <c:v>1465.45</c:v>
                </c:pt>
                <c:pt idx="4">
                  <c:v>27.099999999999998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3-4718-B938-67CF4AFEC25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345119"/>
        <c:axId val="813369599"/>
      </c:lineChart>
      <c:catAx>
        <c:axId val="813345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69599"/>
        <c:crosses val="autoZero"/>
        <c:auto val="1"/>
        <c:lblAlgn val="ctr"/>
        <c:lblOffset val="100"/>
        <c:noMultiLvlLbl val="0"/>
      </c:catAx>
      <c:valAx>
        <c:axId val="81336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4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Revenue Distribution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'Exploring Data Visually'!$B$23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'Exploring Data Visually'!$A$24:$A$29</c:f>
              <c:strCache>
                <c:ptCount val="5"/>
                <c:pt idx="0">
                  <c:v>EIRE</c:v>
                </c:pt>
                <c:pt idx="1">
                  <c:v>Germany</c:v>
                </c:pt>
                <c:pt idx="2">
                  <c:v>Australia</c:v>
                </c:pt>
                <c:pt idx="3">
                  <c:v>France</c:v>
                </c:pt>
                <c:pt idx="4">
                  <c:v>United Kingdom</c:v>
                </c:pt>
              </c:strCache>
            </c:strRef>
          </c:cat>
          <c:val>
            <c:numRef>
              <c:f>'Exploring Data Visually'!$B$24:$B$29</c:f>
              <c:numCache>
                <c:formatCode>General</c:formatCode>
                <c:ptCount val="5"/>
                <c:pt idx="0">
                  <c:v>9</c:v>
                </c:pt>
                <c:pt idx="1">
                  <c:v>15</c:v>
                </c:pt>
                <c:pt idx="2">
                  <c:v>27.6</c:v>
                </c:pt>
                <c:pt idx="3">
                  <c:v>50.500000000000007</c:v>
                </c:pt>
                <c:pt idx="4">
                  <c:v>2232.7499999999991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3-4067-B63D-BC137E406D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3371999"/>
        <c:axId val="813363359"/>
      </c:barChart>
      <c:catAx>
        <c:axId val="81337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63359"/>
        <c:crosses val="autoZero"/>
        <c:auto val="1"/>
        <c:lblAlgn val="ctr"/>
        <c:lblOffset val="100"/>
        <c:noMultiLvlLbl val="0"/>
      </c:catAx>
      <c:valAx>
        <c:axId val="81336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7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Customer Distribution by Country</a:t>
            </a:r>
          </a:p>
        </c:rich>
      </c:tx>
      <c:layout>
        <c:manualLayout>
          <c:xMode val="edge"/>
          <c:yMode val="edge"/>
          <c:x val="0.21468749673223117"/>
          <c:y val="5.4916795194415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'Exploring Data Visually'!$K$3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'Exploring Data Visually'!$J$4:$J$9</c:f>
              <c:strCache>
                <c:ptCount val="5"/>
                <c:pt idx="0">
                  <c:v>Germany</c:v>
                </c:pt>
                <c:pt idx="1">
                  <c:v>EIRE</c:v>
                </c:pt>
                <c:pt idx="2">
                  <c:v>France</c:v>
                </c:pt>
                <c:pt idx="3">
                  <c:v>Australia</c:v>
                </c:pt>
                <c:pt idx="4">
                  <c:v>United Kingdom</c:v>
                </c:pt>
              </c:strCache>
            </c:strRef>
          </c:cat>
          <c:val>
            <c:numRef>
              <c:f>'Exploring Data Visually'!$K$4:$K$9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3-4CCC-8790-FBC5156128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Top 10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'Exploring Data Visually'!$K$23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'Exploring Data Visually'!$J$24:$J$34</c:f>
              <c:strCache>
                <c:ptCount val="10"/>
                <c:pt idx="0">
                  <c:v>ASSORTED COLOUR BIRD ORNAMENT</c:v>
                </c:pt>
                <c:pt idx="1">
                  <c:v>GOLD WINE GOBLET</c:v>
                </c:pt>
                <c:pt idx="2">
                  <c:v>RECORD FRAME 7" SINGLE SIZE</c:v>
                </c:pt>
                <c:pt idx="3">
                  <c:v>PINK FAIRY CAKE CHILD'S APRON</c:v>
                </c:pt>
                <c:pt idx="4">
                  <c:v>RED HANGING HEART T-LIGHT HOLDER</c:v>
                </c:pt>
                <c:pt idx="5">
                  <c:v>BAKING SET 9 PIECE RETROSPOT</c:v>
                </c:pt>
                <c:pt idx="6">
                  <c:v>DOOR MAT BLACK FLOCK</c:v>
                </c:pt>
                <c:pt idx="7">
                  <c:v>DOOR MAT FAIRY CAKE</c:v>
                </c:pt>
                <c:pt idx="8">
                  <c:v>FOLDING UMBRELLA , BLACK/BLUE SPOT</c:v>
                </c:pt>
                <c:pt idx="9">
                  <c:v>SET OF MEADOW FLOWER STICKERS</c:v>
                </c:pt>
              </c:strCache>
            </c:strRef>
          </c:cat>
          <c:val>
            <c:numRef>
              <c:f>'Exploring Data Visually'!$K$24:$K$34</c:f>
              <c:numCache>
                <c:formatCode>General</c:formatCode>
                <c:ptCount val="10"/>
                <c:pt idx="0">
                  <c:v>1160</c:v>
                </c:pt>
                <c:pt idx="1">
                  <c:v>204</c:v>
                </c:pt>
                <c:pt idx="2">
                  <c:v>100.80000000000001</c:v>
                </c:pt>
                <c:pt idx="3">
                  <c:v>82.5</c:v>
                </c:pt>
                <c:pt idx="4">
                  <c:v>81.599999999999994</c:v>
                </c:pt>
                <c:pt idx="5">
                  <c:v>70.050000000000011</c:v>
                </c:pt>
                <c:pt idx="6">
                  <c:v>59.5</c:v>
                </c:pt>
                <c:pt idx="7">
                  <c:v>59.5</c:v>
                </c:pt>
                <c:pt idx="8">
                  <c:v>59.400000000000006</c:v>
                </c:pt>
                <c:pt idx="9">
                  <c:v>50.699999999999996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0-4E87-BB4F-3FD4A322D5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13407039"/>
        <c:axId val="813404159"/>
      </c:barChart>
      <c:catAx>
        <c:axId val="813407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04159"/>
        <c:crosses val="autoZero"/>
        <c:auto val="1"/>
        <c:lblAlgn val="ctr"/>
        <c:lblOffset val="100"/>
        <c:noMultiLvlLbl val="0"/>
      </c:catAx>
      <c:valAx>
        <c:axId val="81340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0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vs.</a:t>
            </a:r>
            <a:r>
              <a:rPr lang="en-US" baseline="0"/>
              <a:t>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864958473451"/>
          <c:y val="0.16233836361428147"/>
          <c:w val="0.67175022252653205"/>
          <c:h val="0.646633002415228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'Clean Data'!$G$1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0199600916408477E-2"/>
                  <c:y val="-0.2262996151426104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tx1"/>
                        </a:solidFill>
                      </a:rPr>
                      <a:t>y = -0.0029x + 3.3124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'Clean Data'!$D$2:$D$46</c:f>
              <c:numCache>
                <c:formatCode>General</c:formatCode>
                <c:ptCount val="45"/>
                <c:pt idx="0">
                  <c:v>12</c:v>
                </c:pt>
                <c:pt idx="1">
                  <c:v>24</c:v>
                </c:pt>
                <c:pt idx="2">
                  <c:v>1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800</c:v>
                </c:pt>
                <c:pt idx="12">
                  <c:v>24</c:v>
                </c:pt>
                <c:pt idx="13">
                  <c:v>50</c:v>
                </c:pt>
                <c:pt idx="14">
                  <c:v>12</c:v>
                </c:pt>
                <c:pt idx="15">
                  <c:v>30</c:v>
                </c:pt>
                <c:pt idx="16">
                  <c:v>48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8</c:v>
                </c:pt>
                <c:pt idx="21">
                  <c:v>32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6</c:v>
                </c:pt>
                <c:pt idx="30">
                  <c:v>48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9</c:v>
                </c:pt>
                <c:pt idx="37">
                  <c:v>3</c:v>
                </c:pt>
                <c:pt idx="38">
                  <c:v>12</c:v>
                </c:pt>
                <c:pt idx="39">
                  <c:v>10</c:v>
                </c:pt>
                <c:pt idx="40">
                  <c:v>10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</c:numCache>
            </c:numRef>
          </c:xVal>
          <c:yVal>
            <c:numRef>
              <c:f>'Clean Data'!$G$2:$G$46</c:f>
              <c:numCache>
                <c:formatCode>General</c:formatCode>
                <c:ptCount val="45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0.75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0.95</c:v>
                </c:pt>
                <c:pt idx="8">
                  <c:v>1.25</c:v>
                </c:pt>
                <c:pt idx="9">
                  <c:v>1.25</c:v>
                </c:pt>
                <c:pt idx="10">
                  <c:v>1.45</c:v>
                </c:pt>
                <c:pt idx="11">
                  <c:v>1.45</c:v>
                </c:pt>
                <c:pt idx="12">
                  <c:v>1.65</c:v>
                </c:pt>
                <c:pt idx="13">
                  <c:v>1.65</c:v>
                </c:pt>
                <c:pt idx="14">
                  <c:v>1.65</c:v>
                </c:pt>
                <c:pt idx="15">
                  <c:v>1.69</c:v>
                </c:pt>
                <c:pt idx="16">
                  <c:v>2.1</c:v>
                </c:pt>
                <c:pt idx="17">
                  <c:v>2.1</c:v>
                </c:pt>
                <c:pt idx="18">
                  <c:v>2.1</c:v>
                </c:pt>
                <c:pt idx="19">
                  <c:v>2.1</c:v>
                </c:pt>
                <c:pt idx="20">
                  <c:v>2.5499999999999998</c:v>
                </c:pt>
                <c:pt idx="21">
                  <c:v>2.5499999999999998</c:v>
                </c:pt>
                <c:pt idx="22">
                  <c:v>2.5499999999999998</c:v>
                </c:pt>
                <c:pt idx="23">
                  <c:v>2.5499999999999998</c:v>
                </c:pt>
                <c:pt idx="24">
                  <c:v>2.5499999999999998</c:v>
                </c:pt>
                <c:pt idx="25">
                  <c:v>2.95</c:v>
                </c:pt>
                <c:pt idx="26">
                  <c:v>2.95</c:v>
                </c:pt>
                <c:pt idx="27">
                  <c:v>3.45</c:v>
                </c:pt>
                <c:pt idx="28">
                  <c:v>3.75</c:v>
                </c:pt>
                <c:pt idx="29">
                  <c:v>4.25</c:v>
                </c:pt>
                <c:pt idx="30">
                  <c:v>4.25</c:v>
                </c:pt>
                <c:pt idx="31">
                  <c:v>4.25</c:v>
                </c:pt>
                <c:pt idx="32">
                  <c:v>4.25</c:v>
                </c:pt>
                <c:pt idx="33">
                  <c:v>4.25</c:v>
                </c:pt>
                <c:pt idx="34">
                  <c:v>4.25</c:v>
                </c:pt>
                <c:pt idx="35">
                  <c:v>4.25</c:v>
                </c:pt>
                <c:pt idx="36">
                  <c:v>4.95</c:v>
                </c:pt>
                <c:pt idx="37">
                  <c:v>4.95</c:v>
                </c:pt>
                <c:pt idx="38">
                  <c:v>4.95</c:v>
                </c:pt>
                <c:pt idx="39">
                  <c:v>5.95</c:v>
                </c:pt>
                <c:pt idx="40">
                  <c:v>5.95</c:v>
                </c:pt>
                <c:pt idx="41">
                  <c:v>5.95</c:v>
                </c:pt>
                <c:pt idx="42">
                  <c:v>7.95</c:v>
                </c:pt>
                <c:pt idx="43">
                  <c:v>9.9499999999999993</c:v>
                </c:pt>
                <c:pt idx="44">
                  <c:v>12.75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19-406F-9616-6072BDD39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641296"/>
        <c:axId val="1250659536"/>
      </c:scatterChart>
      <c:valAx>
        <c:axId val="125064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59536"/>
        <c:crosses val="autoZero"/>
        <c:crossBetween val="midCat"/>
      </c:valAx>
      <c:valAx>
        <c:axId val="12506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4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&amp; quantity 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Data'!$G$1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968985126859142"/>
                  <c:y val="-0.372574001166520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'Clean Data'!$D$2:$D$1056</c:f>
              <c:numCache>
                <c:formatCode>General</c:formatCode>
                <c:ptCount val="1055"/>
                <c:pt idx="0">
                  <c:v>12</c:v>
                </c:pt>
                <c:pt idx="1">
                  <c:v>24</c:v>
                </c:pt>
                <c:pt idx="2">
                  <c:v>1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800</c:v>
                </c:pt>
                <c:pt idx="12">
                  <c:v>24</c:v>
                </c:pt>
                <c:pt idx="13">
                  <c:v>50</c:v>
                </c:pt>
                <c:pt idx="14">
                  <c:v>12</c:v>
                </c:pt>
                <c:pt idx="15">
                  <c:v>30</c:v>
                </c:pt>
                <c:pt idx="16">
                  <c:v>48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8</c:v>
                </c:pt>
                <c:pt idx="21">
                  <c:v>32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6</c:v>
                </c:pt>
                <c:pt idx="30">
                  <c:v>48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9</c:v>
                </c:pt>
                <c:pt idx="37">
                  <c:v>3</c:v>
                </c:pt>
                <c:pt idx="38">
                  <c:v>12</c:v>
                </c:pt>
                <c:pt idx="39">
                  <c:v>10</c:v>
                </c:pt>
                <c:pt idx="40">
                  <c:v>10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</c:numCache>
            </c:numRef>
          </c:xVal>
          <c:yVal>
            <c:numRef>
              <c:f>'Clean Data'!$G$2:$G$1056</c:f>
              <c:numCache>
                <c:formatCode>General</c:formatCode>
                <c:ptCount val="1055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0.75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0.95</c:v>
                </c:pt>
                <c:pt idx="8">
                  <c:v>1.25</c:v>
                </c:pt>
                <c:pt idx="9">
                  <c:v>1.25</c:v>
                </c:pt>
                <c:pt idx="10">
                  <c:v>1.45</c:v>
                </c:pt>
                <c:pt idx="11">
                  <c:v>1.45</c:v>
                </c:pt>
                <c:pt idx="12">
                  <c:v>1.65</c:v>
                </c:pt>
                <c:pt idx="13">
                  <c:v>1.65</c:v>
                </c:pt>
                <c:pt idx="14">
                  <c:v>1.65</c:v>
                </c:pt>
                <c:pt idx="15">
                  <c:v>1.69</c:v>
                </c:pt>
                <c:pt idx="16">
                  <c:v>2.1</c:v>
                </c:pt>
                <c:pt idx="17">
                  <c:v>2.1</c:v>
                </c:pt>
                <c:pt idx="18">
                  <c:v>2.1</c:v>
                </c:pt>
                <c:pt idx="19">
                  <c:v>2.1</c:v>
                </c:pt>
                <c:pt idx="20">
                  <c:v>2.5499999999999998</c:v>
                </c:pt>
                <c:pt idx="21">
                  <c:v>2.5499999999999998</c:v>
                </c:pt>
                <c:pt idx="22">
                  <c:v>2.5499999999999998</c:v>
                </c:pt>
                <c:pt idx="23">
                  <c:v>2.5499999999999998</c:v>
                </c:pt>
                <c:pt idx="24">
                  <c:v>2.5499999999999998</c:v>
                </c:pt>
                <c:pt idx="25">
                  <c:v>2.95</c:v>
                </c:pt>
                <c:pt idx="26">
                  <c:v>2.95</c:v>
                </c:pt>
                <c:pt idx="27">
                  <c:v>3.45</c:v>
                </c:pt>
                <c:pt idx="28">
                  <c:v>3.75</c:v>
                </c:pt>
                <c:pt idx="29">
                  <c:v>4.25</c:v>
                </c:pt>
                <c:pt idx="30">
                  <c:v>4.25</c:v>
                </c:pt>
                <c:pt idx="31">
                  <c:v>4.25</c:v>
                </c:pt>
                <c:pt idx="32">
                  <c:v>4.25</c:v>
                </c:pt>
                <c:pt idx="33">
                  <c:v>4.25</c:v>
                </c:pt>
                <c:pt idx="34">
                  <c:v>4.25</c:v>
                </c:pt>
                <c:pt idx="35">
                  <c:v>4.25</c:v>
                </c:pt>
                <c:pt idx="36">
                  <c:v>4.95</c:v>
                </c:pt>
                <c:pt idx="37">
                  <c:v>4.95</c:v>
                </c:pt>
                <c:pt idx="38">
                  <c:v>4.95</c:v>
                </c:pt>
                <c:pt idx="39">
                  <c:v>5.95</c:v>
                </c:pt>
                <c:pt idx="40">
                  <c:v>5.95</c:v>
                </c:pt>
                <c:pt idx="41">
                  <c:v>5.95</c:v>
                </c:pt>
                <c:pt idx="42">
                  <c:v>7.95</c:v>
                </c:pt>
                <c:pt idx="43">
                  <c:v>9.9499999999999993</c:v>
                </c:pt>
                <c:pt idx="44">
                  <c:v>12.75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2-4C6C-AB1D-F6C62EF3B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41423"/>
        <c:axId val="69826543"/>
      </c:scatterChart>
      <c:valAx>
        <c:axId val="6984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6543"/>
        <c:crosses val="autoZero"/>
        <c:crossBetween val="midCat"/>
      </c:valAx>
      <c:valAx>
        <c:axId val="6982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4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933450</xdr:colOff>
      <xdr:row>35</xdr:row>
      <xdr:rowOff>114300</xdr:rowOff>
    </xdr:from>
    <xdr:ext cx="4886325" cy="2990850"/>
    <xdr:pic>
      <xdr:nvPicPr>
        <xdr:cNvPr id="2065478368" name="Chart3" title="Chart">
          <a:extLst>
            <a:ext uri="{FF2B5EF4-FFF2-40B4-BE49-F238E27FC236}">
              <a16:creationId xmlns:a16="http://schemas.microsoft.com/office/drawing/2014/main" id="{00000000-0008-0000-0000-0000E0B21C7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933450</xdr:colOff>
      <xdr:row>53</xdr:row>
      <xdr:rowOff>190500</xdr:rowOff>
    </xdr:from>
    <xdr:ext cx="4886325" cy="2990850"/>
    <xdr:pic>
      <xdr:nvPicPr>
        <xdr:cNvPr id="240411134" name="Chart4" title="Chart">
          <a:extLst>
            <a:ext uri="{FF2B5EF4-FFF2-40B4-BE49-F238E27FC236}">
              <a16:creationId xmlns:a16="http://schemas.microsoft.com/office/drawing/2014/main" id="{00000000-0008-0000-0000-0000FE61540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0</xdr:rowOff>
    </xdr:from>
    <xdr:to>
      <xdr:col>8</xdr:col>
      <xdr:colOff>19049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C6D13-6FD9-2D35-42AA-DCF7458B2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771525</xdr:colOff>
      <xdr:row>22</xdr:row>
      <xdr:rowOff>9525</xdr:rowOff>
    </xdr:from>
    <xdr:to>
      <xdr:col>8</xdr:col>
      <xdr:colOff>9525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616CAB-4290-E103-101E-F0794BFA9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0</xdr:row>
      <xdr:rowOff>152399</xdr:rowOff>
    </xdr:from>
    <xdr:to>
      <xdr:col>16</xdr:col>
      <xdr:colOff>942975</xdr:colOff>
      <xdr:row>18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272288-8FC9-D08A-D013-B666072AA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1076324</xdr:colOff>
      <xdr:row>21</xdr:row>
      <xdr:rowOff>152399</xdr:rowOff>
    </xdr:from>
    <xdr:to>
      <xdr:col>17</xdr:col>
      <xdr:colOff>19049</xdr:colOff>
      <xdr:row>39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4A53AB-CADA-C6B3-5664-10A17A4AA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31</xdr:col>
      <xdr:colOff>400051</xdr:colOff>
      <xdr:row>18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CFD002-11AC-485D-B971-F4ABD0945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1</xdr:row>
      <xdr:rowOff>0</xdr:rowOff>
    </xdr:from>
    <xdr:to>
      <xdr:col>12</xdr:col>
      <xdr:colOff>542924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33E3F4-058F-4A8D-A2A6-D72814990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63.363677777779" backgroundQuery="1" createdVersion="8" refreshedVersion="8" minRefreshableVersion="3" recordCount="0" supportSubquery="1" supportAdvancedDrill="1" xr:uid="{4DC92B75-32BC-4802-90ED-50141475EA87}">
  <cacheSource type="external" connectionId="1"/>
  <cacheFields count="2">
    <cacheField name="[Measures].[Sum of Revenue]" caption="Sum of Revenue" numFmtId="0" hierarchy="16" level="32767"/>
    <cacheField name="[Range].[Country].[Country]" caption="Country" numFmtId="0" hierarchy="9" level="1">
      <sharedItems count="5">
        <s v="Australia"/>
        <s v="EIRE"/>
        <s v="France"/>
        <s v="Germany"/>
        <s v="United Kingdom"/>
      </sharedItems>
    </cacheField>
  </cacheFields>
  <cacheHierarchies count="18">
    <cacheHierarchy uniqueName="[Range].[Invoice]" caption="Invoice" attribute="1" defaultMemberUniqueName="[Range].[Invoice].[All]" allUniqueName="[Range].[Invoice].[All]" dimensionUniqueName="[Range]" displayFolder="" count="0" memberValueDatatype="20" unbalanced="0"/>
    <cacheHierarchy uniqueName="[Range].[StockCode]" caption="StockCode" attribute="1" defaultMemberUniqueName="[Range].[StockCode].[All]" allUniqueName="[Range].[StockCode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InvoiceDate]" caption="InvoiceDate" attribute="1" time="1" defaultMemberUniqueName="[Range].[InvoiceDate].[All]" allUniqueName="[Range].[InvoiceDate].[All]" dimensionUniqueName="[Range]" displayFolder="" count="0" memberValueDatatype="7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Time 2]" caption="Time 2" attribute="1" defaultMemberUniqueName="[Range].[Time 2].[All]" allUniqueName="[Range].[Time 2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InvoiceDate (Hour)]" caption="InvoiceDate (Hour)" attribute="1" defaultMemberUniqueName="[Range].[InvoiceDate (Hour)].[All]" allUniqueName="[Range].[InvoiceDate (Hour)].[All]" dimensionUniqueName="[Range]" displayFolder="" count="0" memberValueDatatype="130" unbalanced="0"/>
    <cacheHierarchy uniqueName="[Range].[InvoiceDate (Minute)]" caption="InvoiceDate (Minute)" attribute="1" defaultMemberUniqueName="[Range].[InvoiceDate (Minute)].[All]" allUniqueName="[Range].[InvoiceDate (Minute)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nvoice]" caption="Sum of Invoic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63.362532870371" backgroundQuery="1" createdVersion="8" refreshedVersion="8" minRefreshableVersion="3" recordCount="0" supportSubquery="1" supportAdvancedDrill="1" xr:uid="{96BDC1D4-040D-4299-9187-4EED3D145A72}">
  <cacheSource type="external" connectionId="1"/>
  <cacheFields count="2">
    <cacheField name="[Measures].[Sum of Revenue]" caption="Sum of Revenue" numFmtId="0" hierarchy="16" level="32767"/>
    <cacheField name="[Range].[Time 2].[Time 2]" caption="Time 2" numFmtId="0" hierarchy="6" level="1">
      <sharedItems count="5">
        <s v="10 AM"/>
        <s v="11 AM"/>
        <s v="12 PM"/>
        <s v="7 AM"/>
        <s v="9 AM"/>
      </sharedItems>
    </cacheField>
  </cacheFields>
  <cacheHierarchies count="18">
    <cacheHierarchy uniqueName="[Range].[Invoice]" caption="Invoice" attribute="1" defaultMemberUniqueName="[Range].[Invoice].[All]" allUniqueName="[Range].[Invoice].[All]" dimensionUniqueName="[Range]" displayFolder="" count="0" memberValueDatatype="20" unbalanced="0"/>
    <cacheHierarchy uniqueName="[Range].[StockCode]" caption="StockCode" attribute="1" defaultMemberUniqueName="[Range].[StockCode].[All]" allUniqueName="[Range].[StockCode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InvoiceDate]" caption="InvoiceDate" attribute="1" time="1" defaultMemberUniqueName="[Range].[InvoiceDate].[All]" allUniqueName="[Range].[InvoiceDate].[All]" dimensionUniqueName="[Range]" displayFolder="" count="0" memberValueDatatype="7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Time 2]" caption="Time 2" attribute="1" defaultMemberUniqueName="[Range].[Time 2].[All]" allUniqueName="[Range].[Time 2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InvoiceDate (Hour)]" caption="InvoiceDate (Hour)" attribute="1" defaultMemberUniqueName="[Range].[InvoiceDate (Hour)].[All]" allUniqueName="[Range].[InvoiceDate (Hour)].[All]" dimensionUniqueName="[Range]" displayFolder="" count="0" memberValueDatatype="130" unbalanced="0"/>
    <cacheHierarchy uniqueName="[Range].[InvoiceDate (Minute)]" caption="InvoiceDate (Minute)" attribute="1" defaultMemberUniqueName="[Range].[InvoiceDate (Minute)].[All]" allUniqueName="[Range].[InvoiceDate (Minute)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nvoice]" caption="Sum of Invoic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63.36433715278" backgroundQuery="1" createdVersion="8" refreshedVersion="8" minRefreshableVersion="3" recordCount="0" supportSubquery="1" supportAdvancedDrill="1" xr:uid="{440FC8FE-DBC6-48CE-AE8A-0D87FC7C3B4E}">
  <cacheSource type="external" connectionId="1"/>
  <cacheFields count="2">
    <cacheField name="[Range].[Country].[Country]" caption="Country" numFmtId="0" hierarchy="9" level="1">
      <sharedItems count="5">
        <s v="Australia"/>
        <s v="EIRE"/>
        <s v="France"/>
        <s v="Germany"/>
        <s v="United Kingdom"/>
      </sharedItems>
    </cacheField>
    <cacheField name="[Measures].[Count of Country]" caption="Count of Country" numFmtId="0" hierarchy="17" level="32767"/>
  </cacheFields>
  <cacheHierarchies count="18">
    <cacheHierarchy uniqueName="[Range].[Invoice]" caption="Invoice" attribute="1" defaultMemberUniqueName="[Range].[Invoice].[All]" allUniqueName="[Range].[Invoice].[All]" dimensionUniqueName="[Range]" displayFolder="" count="0" memberValueDatatype="20" unbalanced="0"/>
    <cacheHierarchy uniqueName="[Range].[StockCode]" caption="StockCode" attribute="1" defaultMemberUniqueName="[Range].[StockCode].[All]" allUniqueName="[Range].[StockCode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InvoiceDate]" caption="InvoiceDate" attribute="1" time="1" defaultMemberUniqueName="[Range].[InvoiceDate].[All]" allUniqueName="[Range].[InvoiceDate].[All]" dimensionUniqueName="[Range]" displayFolder="" count="0" memberValueDatatype="7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Time 2]" caption="Time 2" attribute="1" defaultMemberUniqueName="[Range].[Time 2].[All]" allUniqueName="[Range].[Time 2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InvoiceDate (Hour)]" caption="InvoiceDate (Hour)" attribute="1" defaultMemberUniqueName="[Range].[InvoiceDate (Hour)].[All]" allUniqueName="[Range].[InvoiceDate (Hour)].[All]" dimensionUniqueName="[Range]" displayFolder="" count="0" memberValueDatatype="130" unbalanced="0"/>
    <cacheHierarchy uniqueName="[Range].[InvoiceDate (Minute)]" caption="InvoiceDate (Minute)" attribute="1" defaultMemberUniqueName="[Range].[InvoiceDate (Minute)].[All]" allUniqueName="[Range].[InvoiceDate (Minute)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nvoice]" caption="Sum of Invoic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ountry]" caption="Count of Count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63.367449074074" backgroundQuery="1" createdVersion="8" refreshedVersion="8" minRefreshableVersion="3" recordCount="0" supportSubquery="1" supportAdvancedDrill="1" xr:uid="{A6C18006-8990-41A3-803B-1D9943E105A9}">
  <cacheSource type="external" connectionId="1"/>
  <cacheFields count="2">
    <cacheField name="[Range].[Description].[Description]" caption="Description" numFmtId="0" hierarchy="2" level="1">
      <sharedItems count="10">
        <s v="ASSORTED COLOUR BIRD ORNAMENT"/>
        <s v="BAKING SET 9 PIECE RETROSPOT"/>
        <s v="DOOR MAT BLACK FLOCK"/>
        <s v="DOOR MAT FAIRY CAKE"/>
        <s v="FOLDING UMBRELLA , BLACK/BLUE SPOT"/>
        <s v="GOLD WINE GOBLET"/>
        <s v="PINK FAIRY CAKE CHILD'S APRON"/>
        <s v="RECORD FRAME 7&quot; SINGLE SIZE"/>
        <s v="RED HANGING HEART T-LIGHT HOLDER"/>
        <s v="SET OF MEADOW FLOWER STICKERS"/>
      </sharedItems>
    </cacheField>
    <cacheField name="[Measures].[Sum of Revenue]" caption="Sum of Revenue" numFmtId="0" hierarchy="16" level="32767"/>
  </cacheFields>
  <cacheHierarchies count="18">
    <cacheHierarchy uniqueName="[Range].[Invoice]" caption="Invoice" attribute="1" defaultMemberUniqueName="[Range].[Invoice].[All]" allUniqueName="[Range].[Invoice].[All]" dimensionUniqueName="[Range]" displayFolder="" count="0" memberValueDatatype="20" unbalanced="0"/>
    <cacheHierarchy uniqueName="[Range].[StockCode]" caption="StockCode" attribute="1" defaultMemberUniqueName="[Range].[StockCode].[All]" allUniqueName="[Range].[StockCode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InvoiceDate]" caption="InvoiceDate" attribute="1" time="1" defaultMemberUniqueName="[Range].[InvoiceDate].[All]" allUniqueName="[Range].[InvoiceDate].[All]" dimensionUniqueName="[Range]" displayFolder="" count="0" memberValueDatatype="7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Time 2]" caption="Time 2" attribute="1" defaultMemberUniqueName="[Range].[Time 2].[All]" allUniqueName="[Range].[Time 2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InvoiceDate (Hour)]" caption="InvoiceDate (Hour)" attribute="1" defaultMemberUniqueName="[Range].[InvoiceDate (Hour)].[All]" allUniqueName="[Range].[InvoiceDate (Hour)].[All]" dimensionUniqueName="[Range]" displayFolder="" count="0" memberValueDatatype="130" unbalanced="0"/>
    <cacheHierarchy uniqueName="[Range].[InvoiceDate (Minute)]" caption="InvoiceDate (Minute)" attribute="1" defaultMemberUniqueName="[Range].[InvoiceDate (Minute)].[All]" allUniqueName="[Range].[InvoiceDate (Minute)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nvoice]" caption="Sum of Invoic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1D1E1-AF58-443C-B63E-F9F8E91493FE}" name="PivotTable12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s">
  <location ref="J23:K3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/>
    </i>
    <i>
      <x v="5"/>
    </i>
    <i>
      <x v="7"/>
    </i>
    <i>
      <x v="6"/>
    </i>
    <i>
      <x v="8"/>
    </i>
    <i>
      <x v="1"/>
    </i>
    <i>
      <x v="2"/>
    </i>
    <i>
      <x v="3"/>
    </i>
    <i>
      <x v="4"/>
    </i>
    <i>
      <x v="9"/>
    </i>
    <i t="grand">
      <x/>
    </i>
  </rowItems>
  <colItems count="1">
    <i/>
  </colItems>
  <dataFields count="1">
    <dataField name="Sum of Revenue" fld="1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 Data!$A$1:$K$4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75777-2020-44FF-93FF-9FBAC15FE3BC}" name="PivotTable11" cacheId="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ountry">
  <location ref="J3:K9" firstHeaderRow="1" firstDataRow="1" firstDataCol="1"/>
  <pivotFields count="2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1"/>
    </i>
    <i>
      <x v="2"/>
    </i>
    <i>
      <x/>
    </i>
    <i>
      <x v="4"/>
    </i>
    <i t="grand">
      <x/>
    </i>
  </rowItems>
  <colItems count="1">
    <i/>
  </colItems>
  <dataFields count="1">
    <dataField name="Count of Country" fld="1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 Data!$A$1:$K$4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D4AC8-F0AC-406F-BED3-50018B482566}" name="PivotTable10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untry">
  <location ref="A23:B29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1"/>
    </i>
    <i>
      <x v="3"/>
    </i>
    <i>
      <x/>
    </i>
    <i>
      <x v="2"/>
    </i>
    <i>
      <x v="4"/>
    </i>
    <i t="grand">
      <x/>
    </i>
  </rowItems>
  <colItems count="1">
    <i/>
  </colItems>
  <dataFields count="1">
    <dataField name="Sum of Revenue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 Data!$A$1:$K$4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AA3E5-795C-4349-9F38-D9E87DBE0A0F}" name="PivotTable9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Time">
  <location ref="A3:B9" firstHeaderRow="1" firstDataRow="1" firstDataCol="1"/>
  <pivotFields count="2">
    <pivotField dataField="1" subtotalTop="0" showAll="0" defaultSubtotal="0"/>
    <pivotField axis="axisRow" allDrilled="1" subtotalTop="0" showAll="0" defaultSubtotal="0" defaultAttributeDrillState="1">
      <items count="5">
        <item x="3"/>
        <item x="4"/>
        <item x="0"/>
        <item x="1"/>
        <item x="2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 Data!$A$1:$K$4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7002EC-5040-4C06-BB0C-0B20C296F716}">
  <we:reference id="wa200000018" version="25.0.2.0" store="en-US" storeType="OMEX"/>
  <we:alternateReferences>
    <we:reference id="wa200000018" version="25.0.2.0" store="WA200000018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9A1E-312A-48D3-B659-FCDE9E82E1B8}">
  <dimension ref="A1:H64"/>
  <sheetViews>
    <sheetView workbookViewId="0">
      <selection activeCell="I24" sqref="I24"/>
    </sheetView>
  </sheetViews>
  <sheetFormatPr defaultColWidth="51.28515625" defaultRowHeight="12.75" x14ac:dyDescent="0.2"/>
  <cols>
    <col min="1" max="1" width="9.5703125" bestFit="1" customWidth="1"/>
    <col min="2" max="2" width="10.140625" bestFit="1" customWidth="1"/>
    <col min="3" max="3" width="42.42578125" bestFit="1" customWidth="1"/>
    <col min="4" max="4" width="8" bestFit="1" customWidth="1"/>
    <col min="5" max="5" width="14.7109375" bestFit="1" customWidth="1"/>
    <col min="6" max="6" width="6.5703125" bestFit="1" customWidth="1"/>
    <col min="7" max="7" width="11.28515625" bestFit="1" customWidth="1"/>
    <col min="8" max="8" width="14.28515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489434</v>
      </c>
      <c r="B2">
        <v>22041</v>
      </c>
      <c r="C2" t="s">
        <v>35</v>
      </c>
      <c r="D2">
        <v>48</v>
      </c>
      <c r="E2">
        <v>40148.322916666664</v>
      </c>
      <c r="F2">
        <v>2.1</v>
      </c>
      <c r="G2">
        <v>13085</v>
      </c>
      <c r="H2" t="s">
        <v>9</v>
      </c>
    </row>
    <row r="3" spans="1:8" x14ac:dyDescent="0.2">
      <c r="A3">
        <v>489435</v>
      </c>
      <c r="B3">
        <v>22195</v>
      </c>
      <c r="C3" t="s">
        <v>30</v>
      </c>
      <c r="D3">
        <v>24</v>
      </c>
      <c r="E3">
        <v>40148.323611111111</v>
      </c>
      <c r="F3">
        <v>1.65</v>
      </c>
      <c r="G3">
        <v>13085</v>
      </c>
      <c r="H3" t="s">
        <v>9</v>
      </c>
    </row>
    <row r="4" spans="1:8" x14ac:dyDescent="0.2">
      <c r="A4">
        <v>489436</v>
      </c>
      <c r="B4" t="s">
        <v>62</v>
      </c>
      <c r="C4" t="s">
        <v>63</v>
      </c>
      <c r="D4">
        <v>10</v>
      </c>
      <c r="E4">
        <v>40148.379166666666</v>
      </c>
      <c r="F4">
        <v>5.95</v>
      </c>
      <c r="G4">
        <v>13078</v>
      </c>
      <c r="H4" t="s">
        <v>9</v>
      </c>
    </row>
    <row r="5" spans="1:8" x14ac:dyDescent="0.2">
      <c r="A5">
        <v>489437</v>
      </c>
      <c r="B5">
        <v>22143</v>
      </c>
      <c r="C5" t="s">
        <v>36</v>
      </c>
      <c r="D5">
        <v>6</v>
      </c>
      <c r="E5">
        <v>40148.380555555559</v>
      </c>
      <c r="F5">
        <v>2.1</v>
      </c>
      <c r="G5">
        <v>15362</v>
      </c>
      <c r="H5" t="s">
        <v>9</v>
      </c>
    </row>
    <row r="6" spans="1:8" x14ac:dyDescent="0.2">
      <c r="A6">
        <v>489437</v>
      </c>
      <c r="B6">
        <v>22143</v>
      </c>
      <c r="C6" t="s">
        <v>36</v>
      </c>
      <c r="D6">
        <v>6</v>
      </c>
      <c r="E6">
        <v>40148.380555555559</v>
      </c>
      <c r="F6">
        <v>2.1</v>
      </c>
      <c r="G6">
        <v>15362</v>
      </c>
      <c r="H6" t="s">
        <v>9</v>
      </c>
    </row>
    <row r="7" spans="1:8" x14ac:dyDescent="0.2">
      <c r="A7">
        <v>489438</v>
      </c>
      <c r="B7">
        <v>21252</v>
      </c>
      <c r="C7" t="s">
        <v>34</v>
      </c>
      <c r="D7">
        <v>30</v>
      </c>
      <c r="E7">
        <v>40148.39166666667</v>
      </c>
      <c r="F7">
        <v>1.69</v>
      </c>
      <c r="G7">
        <v>18102</v>
      </c>
      <c r="H7" t="s">
        <v>9</v>
      </c>
    </row>
    <row r="8" spans="1:8" x14ac:dyDescent="0.2">
      <c r="A8">
        <v>489439</v>
      </c>
      <c r="B8">
        <v>22138</v>
      </c>
      <c r="C8" t="s">
        <v>50</v>
      </c>
      <c r="D8">
        <v>9</v>
      </c>
      <c r="E8">
        <v>40148.394444444442</v>
      </c>
      <c r="F8">
        <v>4.95</v>
      </c>
      <c r="G8">
        <v>12682</v>
      </c>
      <c r="H8" t="s">
        <v>59</v>
      </c>
    </row>
    <row r="9" spans="1:8" x14ac:dyDescent="0.2">
      <c r="A9">
        <v>489440</v>
      </c>
      <c r="B9">
        <v>22350</v>
      </c>
      <c r="C9" t="s">
        <v>39</v>
      </c>
      <c r="D9">
        <v>8</v>
      </c>
      <c r="E9">
        <v>40148.404861111114</v>
      </c>
      <c r="F9">
        <v>2.5499999999999998</v>
      </c>
      <c r="G9">
        <v>18087</v>
      </c>
      <c r="H9" t="s">
        <v>9</v>
      </c>
    </row>
    <row r="10" spans="1:8" x14ac:dyDescent="0.2">
      <c r="A10">
        <v>489441</v>
      </c>
      <c r="B10">
        <v>22138</v>
      </c>
      <c r="C10" t="s">
        <v>50</v>
      </c>
      <c r="D10">
        <v>6</v>
      </c>
      <c r="E10">
        <v>40148.405555555553</v>
      </c>
      <c r="F10">
        <v>4.25</v>
      </c>
      <c r="G10">
        <v>18087</v>
      </c>
      <c r="H10" t="s">
        <v>9</v>
      </c>
    </row>
    <row r="11" spans="1:8" x14ac:dyDescent="0.2">
      <c r="A11">
        <v>489442</v>
      </c>
      <c r="B11">
        <v>22111</v>
      </c>
      <c r="C11" t="s">
        <v>60</v>
      </c>
      <c r="D11">
        <v>3</v>
      </c>
      <c r="E11">
        <v>40148.406944444447</v>
      </c>
      <c r="F11">
        <v>4.95</v>
      </c>
      <c r="G11">
        <v>13635</v>
      </c>
      <c r="H11" t="s">
        <v>9</v>
      </c>
    </row>
    <row r="12" spans="1:8" x14ac:dyDescent="0.2">
      <c r="A12">
        <v>489443</v>
      </c>
      <c r="B12">
        <v>82580</v>
      </c>
      <c r="C12" t="s">
        <v>8</v>
      </c>
      <c r="D12">
        <v>12</v>
      </c>
      <c r="E12">
        <v>40148.409722222219</v>
      </c>
      <c r="F12">
        <v>0.55000000000000004</v>
      </c>
      <c r="G12">
        <v>14110</v>
      </c>
      <c r="H12" t="s">
        <v>9</v>
      </c>
    </row>
    <row r="13" spans="1:8" x14ac:dyDescent="0.2">
      <c r="A13">
        <v>489444</v>
      </c>
      <c r="B13" t="s">
        <v>123</v>
      </c>
      <c r="C13" t="s">
        <v>124</v>
      </c>
      <c r="D13">
        <v>1</v>
      </c>
      <c r="E13">
        <v>40148.413194444445</v>
      </c>
      <c r="F13">
        <v>-141</v>
      </c>
      <c r="G13">
        <v>12636</v>
      </c>
      <c r="H13" t="s">
        <v>125</v>
      </c>
    </row>
    <row r="14" spans="1:8" x14ac:dyDescent="0.2">
      <c r="A14">
        <v>489445</v>
      </c>
      <c r="B14" t="s">
        <v>16</v>
      </c>
      <c r="C14" t="s">
        <v>17</v>
      </c>
      <c r="D14">
        <v>12</v>
      </c>
      <c r="E14">
        <v>40148.414583333331</v>
      </c>
      <c r="F14">
        <v>0.85</v>
      </c>
      <c r="G14">
        <v>17519</v>
      </c>
      <c r="H14" t="s">
        <v>9</v>
      </c>
    </row>
    <row r="15" spans="1:8" x14ac:dyDescent="0.2">
      <c r="A15">
        <v>489446</v>
      </c>
      <c r="B15">
        <v>21733</v>
      </c>
      <c r="C15" t="s">
        <v>40</v>
      </c>
      <c r="D15">
        <v>32</v>
      </c>
      <c r="E15">
        <v>40148.42083333333</v>
      </c>
      <c r="F15">
        <v>2.5499999999999998</v>
      </c>
      <c r="G15">
        <v>13758</v>
      </c>
      <c r="H15" t="s">
        <v>9</v>
      </c>
    </row>
    <row r="16" spans="1:8" x14ac:dyDescent="0.2">
      <c r="A16">
        <v>489447</v>
      </c>
      <c r="B16" t="s">
        <v>123</v>
      </c>
      <c r="C16" t="s">
        <v>124</v>
      </c>
      <c r="D16">
        <v>1</v>
      </c>
      <c r="E16">
        <v>40148.423611111109</v>
      </c>
      <c r="F16">
        <v>-130</v>
      </c>
      <c r="G16">
        <v>12362</v>
      </c>
      <c r="H16" t="s">
        <v>126</v>
      </c>
    </row>
    <row r="17" spans="1:8" x14ac:dyDescent="0.2">
      <c r="A17">
        <v>489448</v>
      </c>
      <c r="B17">
        <v>20823</v>
      </c>
      <c r="C17" t="s">
        <v>51</v>
      </c>
      <c r="D17">
        <v>48</v>
      </c>
      <c r="E17">
        <v>40148.429166666669</v>
      </c>
      <c r="F17">
        <v>4.25</v>
      </c>
      <c r="G17">
        <v>15413</v>
      </c>
      <c r="H17" t="s">
        <v>9</v>
      </c>
    </row>
    <row r="18" spans="1:8" x14ac:dyDescent="0.2">
      <c r="A18">
        <v>489450</v>
      </c>
      <c r="B18">
        <v>21896</v>
      </c>
      <c r="C18" t="s">
        <v>37</v>
      </c>
      <c r="D18">
        <v>6</v>
      </c>
      <c r="E18">
        <v>40148.441666666666</v>
      </c>
      <c r="F18">
        <v>2.1</v>
      </c>
      <c r="G18">
        <v>16321</v>
      </c>
      <c r="H18" t="s">
        <v>24</v>
      </c>
    </row>
    <row r="19" spans="1:8" x14ac:dyDescent="0.2">
      <c r="A19">
        <v>489460</v>
      </c>
      <c r="B19">
        <v>21977</v>
      </c>
      <c r="C19" t="s">
        <v>10</v>
      </c>
      <c r="D19">
        <v>24</v>
      </c>
      <c r="E19">
        <v>40148.448611111111</v>
      </c>
      <c r="F19">
        <v>0.55000000000000004</v>
      </c>
      <c r="G19">
        <v>16167</v>
      </c>
      <c r="H19" t="s">
        <v>9</v>
      </c>
    </row>
    <row r="20" spans="1:8" x14ac:dyDescent="0.2">
      <c r="A20">
        <v>489461</v>
      </c>
      <c r="B20">
        <v>21248</v>
      </c>
      <c r="C20" t="s">
        <v>28</v>
      </c>
      <c r="D20">
        <v>12</v>
      </c>
      <c r="E20">
        <v>40148.450694444444</v>
      </c>
      <c r="F20">
        <v>1.45</v>
      </c>
      <c r="G20">
        <v>17865</v>
      </c>
      <c r="H20" t="s">
        <v>9</v>
      </c>
    </row>
    <row r="21" spans="1:8" x14ac:dyDescent="0.2">
      <c r="A21">
        <v>489462</v>
      </c>
      <c r="B21" t="s">
        <v>52</v>
      </c>
      <c r="C21" t="s">
        <v>53</v>
      </c>
      <c r="D21">
        <v>3</v>
      </c>
      <c r="E21">
        <v>40148.450694444444</v>
      </c>
      <c r="F21">
        <v>4.25</v>
      </c>
      <c r="G21">
        <v>17592</v>
      </c>
      <c r="H21" t="s">
        <v>9</v>
      </c>
    </row>
    <row r="22" spans="1:8" x14ac:dyDescent="0.2">
      <c r="A22">
        <v>489462</v>
      </c>
      <c r="B22" t="s">
        <v>54</v>
      </c>
      <c r="C22" t="s">
        <v>55</v>
      </c>
      <c r="D22">
        <v>3</v>
      </c>
      <c r="E22">
        <v>40148.450694444444</v>
      </c>
      <c r="F22">
        <v>4.25</v>
      </c>
      <c r="G22">
        <v>17592</v>
      </c>
      <c r="H22" t="s">
        <v>9</v>
      </c>
    </row>
    <row r="23" spans="1:8" x14ac:dyDescent="0.2">
      <c r="A23">
        <v>489462</v>
      </c>
      <c r="B23" t="s">
        <v>54</v>
      </c>
      <c r="C23" t="s">
        <v>55</v>
      </c>
      <c r="D23">
        <v>3</v>
      </c>
      <c r="E23">
        <v>40148.450694444444</v>
      </c>
      <c r="F23">
        <v>4.25</v>
      </c>
      <c r="G23">
        <v>17592</v>
      </c>
      <c r="H23" t="s">
        <v>9</v>
      </c>
    </row>
    <row r="24" spans="1:8" x14ac:dyDescent="0.2">
      <c r="A24">
        <v>489464</v>
      </c>
      <c r="B24">
        <v>21733</v>
      </c>
      <c r="C24" t="s">
        <v>129</v>
      </c>
      <c r="D24">
        <v>-96</v>
      </c>
      <c r="E24">
        <v>40148.452777777777</v>
      </c>
      <c r="F24">
        <v>0</v>
      </c>
      <c r="H24" t="s">
        <v>9</v>
      </c>
    </row>
    <row r="25" spans="1:8" x14ac:dyDescent="0.2">
      <c r="A25">
        <v>489465</v>
      </c>
      <c r="B25">
        <v>21707</v>
      </c>
      <c r="C25" t="s">
        <v>61</v>
      </c>
      <c r="D25">
        <v>12</v>
      </c>
      <c r="E25">
        <v>40148.452777777777</v>
      </c>
      <c r="F25">
        <v>4.95</v>
      </c>
      <c r="G25">
        <v>13767</v>
      </c>
      <c r="H25" t="s">
        <v>9</v>
      </c>
    </row>
    <row r="26" spans="1:8" x14ac:dyDescent="0.2">
      <c r="A26">
        <v>489467</v>
      </c>
      <c r="B26" t="s">
        <v>130</v>
      </c>
      <c r="C26" t="s">
        <v>131</v>
      </c>
      <c r="D26">
        <v>-192</v>
      </c>
      <c r="E26">
        <v>40148.453472222223</v>
      </c>
      <c r="F26">
        <v>0</v>
      </c>
      <c r="H26" t="s">
        <v>9</v>
      </c>
    </row>
    <row r="27" spans="1:8" x14ac:dyDescent="0.2">
      <c r="A27">
        <v>489488</v>
      </c>
      <c r="B27" t="s">
        <v>44</v>
      </c>
      <c r="C27" t="s">
        <v>45</v>
      </c>
      <c r="D27">
        <v>1</v>
      </c>
      <c r="E27">
        <v>40148.457638888889</v>
      </c>
      <c r="F27">
        <v>2.95</v>
      </c>
      <c r="G27">
        <v>17238</v>
      </c>
      <c r="H27" t="s">
        <v>9</v>
      </c>
    </row>
    <row r="28" spans="1:8" x14ac:dyDescent="0.2">
      <c r="A28">
        <v>489505</v>
      </c>
      <c r="B28">
        <v>48185</v>
      </c>
      <c r="C28" t="s">
        <v>64</v>
      </c>
      <c r="D28">
        <v>10</v>
      </c>
      <c r="E28">
        <v>40148.470138888886</v>
      </c>
      <c r="F28">
        <v>5.95</v>
      </c>
      <c r="G28">
        <v>15712</v>
      </c>
      <c r="H28" t="s">
        <v>9</v>
      </c>
    </row>
    <row r="29" spans="1:8" x14ac:dyDescent="0.2">
      <c r="A29">
        <v>489514</v>
      </c>
      <c r="B29" t="s">
        <v>31</v>
      </c>
      <c r="C29" t="s">
        <v>32</v>
      </c>
      <c r="D29">
        <v>50</v>
      </c>
      <c r="E29">
        <v>40148.472916666666</v>
      </c>
      <c r="F29">
        <v>1.65</v>
      </c>
      <c r="G29">
        <v>15311</v>
      </c>
      <c r="H29" t="s">
        <v>9</v>
      </c>
    </row>
    <row r="30" spans="1:8" x14ac:dyDescent="0.2">
      <c r="A30">
        <v>489517</v>
      </c>
      <c r="B30" t="s">
        <v>46</v>
      </c>
      <c r="C30" t="s">
        <v>47</v>
      </c>
      <c r="D30">
        <v>2</v>
      </c>
      <c r="E30">
        <v>40148.481944444444</v>
      </c>
      <c r="F30">
        <v>2.95</v>
      </c>
      <c r="G30">
        <v>16329</v>
      </c>
      <c r="H30" t="s">
        <v>9</v>
      </c>
    </row>
    <row r="31" spans="1:8" x14ac:dyDescent="0.2">
      <c r="A31">
        <v>489519</v>
      </c>
      <c r="B31">
        <v>22276</v>
      </c>
      <c r="C31" t="s">
        <v>42</v>
      </c>
      <c r="D31">
        <v>6</v>
      </c>
      <c r="E31">
        <v>40148.484027777777</v>
      </c>
      <c r="F31">
        <v>2.5499999999999998</v>
      </c>
      <c r="G31">
        <v>17700</v>
      </c>
      <c r="H31" t="s">
        <v>9</v>
      </c>
    </row>
    <row r="32" spans="1:8" x14ac:dyDescent="0.2">
      <c r="A32">
        <v>489520</v>
      </c>
      <c r="B32" t="s">
        <v>13</v>
      </c>
      <c r="C32" t="s">
        <v>14</v>
      </c>
      <c r="D32">
        <v>12</v>
      </c>
      <c r="E32">
        <v>40148.486805555556</v>
      </c>
      <c r="F32">
        <v>0.75</v>
      </c>
      <c r="G32">
        <v>14911</v>
      </c>
      <c r="H32" t="s">
        <v>15</v>
      </c>
    </row>
    <row r="33" spans="1:8" x14ac:dyDescent="0.2">
      <c r="A33">
        <v>489521</v>
      </c>
      <c r="B33">
        <v>21646</v>
      </c>
      <c r="D33">
        <v>-50</v>
      </c>
      <c r="E33">
        <v>40148.488888888889</v>
      </c>
      <c r="F33">
        <v>0</v>
      </c>
      <c r="H33" t="s">
        <v>9</v>
      </c>
    </row>
    <row r="34" spans="1:8" x14ac:dyDescent="0.2">
      <c r="A34">
        <v>489522</v>
      </c>
      <c r="B34" t="s">
        <v>67</v>
      </c>
      <c r="C34" t="s">
        <v>68</v>
      </c>
      <c r="D34">
        <v>1</v>
      </c>
      <c r="E34">
        <v>40148.489583333336</v>
      </c>
      <c r="F34">
        <v>9.9499999999999993</v>
      </c>
      <c r="G34">
        <v>15998</v>
      </c>
      <c r="H34" t="s">
        <v>9</v>
      </c>
    </row>
    <row r="35" spans="1:8" x14ac:dyDescent="0.2">
      <c r="A35">
        <v>489523</v>
      </c>
      <c r="B35">
        <v>84879</v>
      </c>
      <c r="C35" t="s">
        <v>29</v>
      </c>
      <c r="D35">
        <v>800</v>
      </c>
      <c r="E35">
        <v>40148.490277777775</v>
      </c>
      <c r="F35">
        <v>1.45</v>
      </c>
      <c r="G35">
        <v>12931</v>
      </c>
      <c r="H35" t="s">
        <v>9</v>
      </c>
    </row>
    <row r="36" spans="1:8" x14ac:dyDescent="0.2">
      <c r="A36">
        <v>489525</v>
      </c>
      <c r="B36" t="s">
        <v>11</v>
      </c>
      <c r="C36" t="s">
        <v>12</v>
      </c>
      <c r="D36">
        <v>1</v>
      </c>
      <c r="E36">
        <v>40148.492361111108</v>
      </c>
      <c r="F36">
        <v>0.55000000000000004</v>
      </c>
      <c r="G36">
        <v>13293</v>
      </c>
      <c r="H36" t="s">
        <v>9</v>
      </c>
    </row>
    <row r="37" spans="1:8" x14ac:dyDescent="0.2">
      <c r="A37">
        <v>489525</v>
      </c>
      <c r="B37" t="s">
        <v>11</v>
      </c>
      <c r="C37" t="s">
        <v>12</v>
      </c>
      <c r="D37">
        <v>1</v>
      </c>
      <c r="E37">
        <v>40148.492361111108</v>
      </c>
      <c r="F37">
        <v>0.55000000000000004</v>
      </c>
      <c r="G37">
        <v>13293</v>
      </c>
      <c r="H37" t="s">
        <v>9</v>
      </c>
    </row>
    <row r="38" spans="1:8" x14ac:dyDescent="0.2">
      <c r="A38">
        <v>489526</v>
      </c>
      <c r="B38" t="s">
        <v>25</v>
      </c>
      <c r="C38" t="s">
        <v>26</v>
      </c>
      <c r="D38">
        <v>12</v>
      </c>
      <c r="E38">
        <v>40148.493055555555</v>
      </c>
      <c r="F38">
        <v>1.25</v>
      </c>
      <c r="G38">
        <v>12533</v>
      </c>
      <c r="H38" t="s">
        <v>27</v>
      </c>
    </row>
    <row r="39" spans="1:8" x14ac:dyDescent="0.2">
      <c r="A39">
        <v>489529</v>
      </c>
      <c r="B39">
        <v>22300</v>
      </c>
      <c r="C39" t="s">
        <v>43</v>
      </c>
      <c r="D39">
        <v>6</v>
      </c>
      <c r="E39">
        <v>40148.493750000001</v>
      </c>
      <c r="F39">
        <v>2.5499999999999998</v>
      </c>
      <c r="G39">
        <v>17984</v>
      </c>
      <c r="H39" t="s">
        <v>9</v>
      </c>
    </row>
    <row r="40" spans="1:8" x14ac:dyDescent="0.2">
      <c r="A40">
        <v>489531</v>
      </c>
      <c r="B40">
        <v>21034</v>
      </c>
      <c r="C40" t="s">
        <v>22</v>
      </c>
      <c r="D40">
        <v>1</v>
      </c>
      <c r="E40">
        <v>40148.497916666667</v>
      </c>
      <c r="F40">
        <v>0.95</v>
      </c>
      <c r="G40">
        <v>14871</v>
      </c>
      <c r="H40" t="s">
        <v>9</v>
      </c>
    </row>
    <row r="41" spans="1:8" x14ac:dyDescent="0.2">
      <c r="A41">
        <v>489532</v>
      </c>
      <c r="B41" t="s">
        <v>18</v>
      </c>
      <c r="C41" t="s">
        <v>19</v>
      </c>
      <c r="D41">
        <v>12</v>
      </c>
      <c r="E41">
        <v>40148.498611111114</v>
      </c>
      <c r="F41">
        <v>0.85</v>
      </c>
      <c r="G41">
        <v>13394</v>
      </c>
      <c r="H41" t="s">
        <v>9</v>
      </c>
    </row>
    <row r="42" spans="1:8" x14ac:dyDescent="0.2">
      <c r="A42">
        <v>489533</v>
      </c>
      <c r="B42" t="s">
        <v>20</v>
      </c>
      <c r="C42" t="s">
        <v>21</v>
      </c>
      <c r="D42">
        <v>12</v>
      </c>
      <c r="E42">
        <v>40148.501388888886</v>
      </c>
      <c r="F42">
        <v>0.85</v>
      </c>
      <c r="G42">
        <v>16011</v>
      </c>
      <c r="H42" t="s">
        <v>9</v>
      </c>
    </row>
    <row r="43" spans="1:8" x14ac:dyDescent="0.2">
      <c r="A43">
        <v>489537</v>
      </c>
      <c r="B43">
        <v>20967</v>
      </c>
      <c r="C43" t="s">
        <v>49</v>
      </c>
      <c r="D43">
        <v>2</v>
      </c>
      <c r="E43">
        <v>40148.509722222225</v>
      </c>
      <c r="F43">
        <v>3.75</v>
      </c>
      <c r="G43">
        <v>14040</v>
      </c>
      <c r="H43" t="s">
        <v>9</v>
      </c>
    </row>
    <row r="44" spans="1:8" x14ac:dyDescent="0.2">
      <c r="A44">
        <v>489545</v>
      </c>
      <c r="B44">
        <v>22113</v>
      </c>
      <c r="C44" t="s">
        <v>48</v>
      </c>
      <c r="D44">
        <v>1</v>
      </c>
      <c r="E44">
        <v>40148.515277777777</v>
      </c>
      <c r="F44">
        <v>3.45</v>
      </c>
      <c r="G44">
        <v>17804</v>
      </c>
      <c r="H44" t="s">
        <v>9</v>
      </c>
    </row>
    <row r="45" spans="1:8" x14ac:dyDescent="0.2">
      <c r="A45" t="s">
        <v>127</v>
      </c>
      <c r="B45">
        <v>21871</v>
      </c>
      <c r="C45" t="s">
        <v>23</v>
      </c>
      <c r="D45">
        <v>-12</v>
      </c>
      <c r="E45">
        <v>40148.439583333333</v>
      </c>
      <c r="F45">
        <v>1.25</v>
      </c>
      <c r="G45">
        <v>16321</v>
      </c>
      <c r="H45" t="s">
        <v>24</v>
      </c>
    </row>
    <row r="46" spans="1:8" x14ac:dyDescent="0.2">
      <c r="A46" t="s">
        <v>128</v>
      </c>
      <c r="B46" t="s">
        <v>52</v>
      </c>
      <c r="C46" t="s">
        <v>53</v>
      </c>
      <c r="D46">
        <v>-3</v>
      </c>
      <c r="E46">
        <v>40148.447222222225</v>
      </c>
      <c r="F46">
        <v>4.25</v>
      </c>
      <c r="G46">
        <v>17592</v>
      </c>
      <c r="H46" t="s">
        <v>9</v>
      </c>
    </row>
    <row r="47" spans="1:8" x14ac:dyDescent="0.2">
      <c r="A47" t="s">
        <v>132</v>
      </c>
      <c r="B47">
        <v>22149</v>
      </c>
      <c r="C47" t="s">
        <v>38</v>
      </c>
      <c r="D47">
        <v>-6</v>
      </c>
      <c r="E47">
        <v>40148.454861111109</v>
      </c>
      <c r="F47">
        <v>2.1</v>
      </c>
      <c r="G47">
        <v>13293</v>
      </c>
      <c r="H47" t="s">
        <v>9</v>
      </c>
    </row>
    <row r="48" spans="1:8" x14ac:dyDescent="0.2">
      <c r="A48" t="s">
        <v>133</v>
      </c>
      <c r="B48">
        <v>21540</v>
      </c>
      <c r="C48" t="s">
        <v>56</v>
      </c>
      <c r="D48">
        <v>-2</v>
      </c>
      <c r="E48">
        <v>40148.461111111108</v>
      </c>
      <c r="F48">
        <v>4.25</v>
      </c>
      <c r="G48">
        <v>16011</v>
      </c>
      <c r="H48" t="s">
        <v>9</v>
      </c>
    </row>
    <row r="49" spans="1:8" x14ac:dyDescent="0.2">
      <c r="A49" t="s">
        <v>134</v>
      </c>
      <c r="B49">
        <v>85083</v>
      </c>
      <c r="C49" t="s">
        <v>41</v>
      </c>
      <c r="D49">
        <v>-6</v>
      </c>
      <c r="E49">
        <v>40148.465277777781</v>
      </c>
      <c r="F49">
        <v>2.5499999999999998</v>
      </c>
      <c r="G49">
        <v>13916</v>
      </c>
      <c r="H49" t="s">
        <v>9</v>
      </c>
    </row>
    <row r="50" spans="1:8" x14ac:dyDescent="0.2">
      <c r="A50" t="s">
        <v>135</v>
      </c>
      <c r="B50">
        <v>20892</v>
      </c>
      <c r="C50" t="s">
        <v>69</v>
      </c>
      <c r="D50">
        <v>-2</v>
      </c>
      <c r="E50">
        <v>40148.482638888891</v>
      </c>
      <c r="F50">
        <v>12.75</v>
      </c>
      <c r="G50">
        <v>15461</v>
      </c>
      <c r="H50" t="s">
        <v>9</v>
      </c>
    </row>
    <row r="51" spans="1:8" x14ac:dyDescent="0.2">
      <c r="A51" t="s">
        <v>136</v>
      </c>
      <c r="B51">
        <v>21173</v>
      </c>
      <c r="C51" t="s">
        <v>33</v>
      </c>
      <c r="D51">
        <v>-12</v>
      </c>
      <c r="E51">
        <v>40148.493055555555</v>
      </c>
      <c r="F51">
        <v>1.65</v>
      </c>
      <c r="G51">
        <v>16128</v>
      </c>
      <c r="H51" t="s">
        <v>9</v>
      </c>
    </row>
    <row r="52" spans="1:8" x14ac:dyDescent="0.2">
      <c r="A52" t="s">
        <v>137</v>
      </c>
      <c r="B52">
        <v>85048</v>
      </c>
      <c r="C52" t="s">
        <v>66</v>
      </c>
      <c r="D52">
        <v>-1</v>
      </c>
      <c r="E52">
        <v>40148.493055555555</v>
      </c>
      <c r="F52">
        <v>7.95</v>
      </c>
      <c r="G52">
        <v>16714</v>
      </c>
      <c r="H52" t="s">
        <v>9</v>
      </c>
    </row>
    <row r="53" spans="1:8" x14ac:dyDescent="0.2">
      <c r="A53" t="s">
        <v>138</v>
      </c>
      <c r="B53" t="s">
        <v>57</v>
      </c>
      <c r="C53" t="s">
        <v>58</v>
      </c>
      <c r="D53">
        <v>-1</v>
      </c>
      <c r="E53">
        <v>40148.49722222222</v>
      </c>
      <c r="F53">
        <v>4.25</v>
      </c>
      <c r="G53">
        <v>14748</v>
      </c>
      <c r="H53" t="s">
        <v>9</v>
      </c>
    </row>
    <row r="54" spans="1:8" x14ac:dyDescent="0.2">
      <c r="A54" t="s">
        <v>139</v>
      </c>
      <c r="B54">
        <v>35832</v>
      </c>
      <c r="C54" t="s">
        <v>65</v>
      </c>
      <c r="D54">
        <v>-1</v>
      </c>
      <c r="E54">
        <v>40148.506249999999</v>
      </c>
      <c r="F54">
        <v>5.95</v>
      </c>
      <c r="G54">
        <v>12615</v>
      </c>
      <c r="H54" t="s">
        <v>59</v>
      </c>
    </row>
    <row r="55" spans="1:8" x14ac:dyDescent="0.2">
      <c r="A55">
        <v>489449</v>
      </c>
      <c r="B55">
        <v>21871</v>
      </c>
      <c r="C55" t="s">
        <v>23</v>
      </c>
      <c r="D55">
        <v>12</v>
      </c>
      <c r="E55">
        <v>40148.439579999998</v>
      </c>
      <c r="F55">
        <v>1.25</v>
      </c>
      <c r="G55">
        <v>16321</v>
      </c>
      <c r="H55" t="s">
        <v>24</v>
      </c>
    </row>
    <row r="56" spans="1:8" x14ac:dyDescent="0.2">
      <c r="A56">
        <v>489527</v>
      </c>
      <c r="B56">
        <v>21173</v>
      </c>
      <c r="C56" t="s">
        <v>33</v>
      </c>
      <c r="D56">
        <v>12</v>
      </c>
      <c r="E56">
        <v>40148.493060000001</v>
      </c>
      <c r="F56">
        <v>1.65</v>
      </c>
      <c r="G56">
        <v>16128</v>
      </c>
      <c r="H56" t="s">
        <v>9</v>
      </c>
    </row>
    <row r="57" spans="1:8" x14ac:dyDescent="0.2">
      <c r="A57">
        <v>489476</v>
      </c>
      <c r="B57">
        <v>22149</v>
      </c>
      <c r="C57" t="s">
        <v>38</v>
      </c>
      <c r="D57">
        <v>6</v>
      </c>
      <c r="E57">
        <v>40148.454859999998</v>
      </c>
      <c r="F57">
        <v>2.1</v>
      </c>
      <c r="G57">
        <v>13293</v>
      </c>
      <c r="H57" t="s">
        <v>9</v>
      </c>
    </row>
    <row r="58" spans="1:8" x14ac:dyDescent="0.2">
      <c r="A58">
        <v>489504</v>
      </c>
      <c r="B58">
        <v>85083</v>
      </c>
      <c r="C58" t="s">
        <v>41</v>
      </c>
      <c r="D58">
        <v>6</v>
      </c>
      <c r="E58">
        <v>40148.465279999997</v>
      </c>
      <c r="F58">
        <v>2.5499999999999998</v>
      </c>
      <c r="G58">
        <v>13916</v>
      </c>
      <c r="H58" t="s">
        <v>9</v>
      </c>
    </row>
    <row r="59" spans="1:8" x14ac:dyDescent="0.2">
      <c r="A59">
        <v>489459</v>
      </c>
      <c r="B59" t="s">
        <v>52</v>
      </c>
      <c r="C59" t="s">
        <v>53</v>
      </c>
      <c r="D59">
        <v>3</v>
      </c>
      <c r="E59">
        <v>40148.447220000002</v>
      </c>
      <c r="F59">
        <v>4.25</v>
      </c>
      <c r="G59">
        <v>17592</v>
      </c>
      <c r="H59" t="s">
        <v>9</v>
      </c>
    </row>
    <row r="60" spans="1:8" x14ac:dyDescent="0.2">
      <c r="A60">
        <v>489503</v>
      </c>
      <c r="B60">
        <v>21540</v>
      </c>
      <c r="C60" t="s">
        <v>56</v>
      </c>
      <c r="D60">
        <v>2</v>
      </c>
      <c r="E60">
        <v>40148.461109999997</v>
      </c>
      <c r="F60">
        <v>4.25</v>
      </c>
      <c r="G60">
        <v>16011</v>
      </c>
      <c r="H60" t="s">
        <v>9</v>
      </c>
    </row>
    <row r="61" spans="1:8" x14ac:dyDescent="0.2">
      <c r="A61">
        <v>489530</v>
      </c>
      <c r="B61" t="s">
        <v>57</v>
      </c>
      <c r="C61" t="s">
        <v>58</v>
      </c>
      <c r="D61">
        <v>1</v>
      </c>
      <c r="E61">
        <v>40148.497219999997</v>
      </c>
      <c r="F61">
        <v>4.25</v>
      </c>
      <c r="G61">
        <v>14748</v>
      </c>
      <c r="H61" t="s">
        <v>9</v>
      </c>
    </row>
    <row r="62" spans="1:8" x14ac:dyDescent="0.2">
      <c r="A62">
        <v>489534</v>
      </c>
      <c r="B62">
        <v>35832</v>
      </c>
      <c r="C62" t="s">
        <v>65</v>
      </c>
      <c r="D62">
        <v>1</v>
      </c>
      <c r="E62">
        <v>40148.506249999999</v>
      </c>
      <c r="F62">
        <v>5.95</v>
      </c>
      <c r="G62">
        <v>12615</v>
      </c>
      <c r="H62" t="s">
        <v>59</v>
      </c>
    </row>
    <row r="63" spans="1:8" x14ac:dyDescent="0.2">
      <c r="A63">
        <v>489528</v>
      </c>
      <c r="B63">
        <v>85048</v>
      </c>
      <c r="C63" t="s">
        <v>66</v>
      </c>
      <c r="D63">
        <v>1</v>
      </c>
      <c r="E63">
        <v>40148.493060000001</v>
      </c>
      <c r="F63">
        <v>7.95</v>
      </c>
      <c r="G63">
        <v>16714</v>
      </c>
      <c r="H63" t="s">
        <v>9</v>
      </c>
    </row>
    <row r="64" spans="1:8" x14ac:dyDescent="0.2">
      <c r="A64">
        <v>489518</v>
      </c>
      <c r="B64">
        <v>20892</v>
      </c>
      <c r="C64" t="s">
        <v>69</v>
      </c>
      <c r="D64">
        <v>2</v>
      </c>
      <c r="E64">
        <v>40148.482640000002</v>
      </c>
      <c r="F64">
        <v>12.75</v>
      </c>
      <c r="G64">
        <v>15461</v>
      </c>
      <c r="H6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56"/>
  <sheetViews>
    <sheetView zoomScale="94" workbookViewId="0">
      <pane ySplit="1" topLeftCell="A2" activePane="bottomLeft" state="frozen"/>
      <selection pane="bottomLeft" activeCell="L8" sqref="L8"/>
    </sheetView>
  </sheetViews>
  <sheetFormatPr defaultColWidth="12.5703125" defaultRowHeight="12.75" x14ac:dyDescent="0.2"/>
  <cols>
    <col min="3" max="3" width="45.140625" bestFit="1" customWidth="1"/>
    <col min="5" max="5" width="13.5703125" bestFit="1" customWidth="1"/>
    <col min="6" max="6" width="13.5703125" customWidth="1"/>
    <col min="8" max="8" width="14.42578125" bestFit="1" customWidth="1"/>
    <col min="9" max="9" width="15.140625" bestFit="1" customWidth="1"/>
    <col min="12" max="12" width="15.42578125" customWidth="1"/>
  </cols>
  <sheetData>
    <row r="1" spans="1:26" s="27" customFormat="1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149</v>
      </c>
      <c r="G1" s="26" t="s">
        <v>5</v>
      </c>
      <c r="H1" s="26" t="s">
        <v>6</v>
      </c>
      <c r="I1" s="26" t="s">
        <v>7</v>
      </c>
      <c r="J1" s="26" t="s">
        <v>146</v>
      </c>
      <c r="K1" s="26"/>
    </row>
    <row r="2" spans="1:26" ht="18.75" x14ac:dyDescent="0.2">
      <c r="A2" s="1">
        <v>489443</v>
      </c>
      <c r="B2" s="1">
        <v>82580</v>
      </c>
      <c r="C2" s="2" t="s">
        <v>8</v>
      </c>
      <c r="D2" s="1">
        <v>12</v>
      </c>
      <c r="E2" s="3">
        <v>40148.409722222219</v>
      </c>
      <c r="F2" s="3" t="s">
        <v>95</v>
      </c>
      <c r="G2" s="1">
        <v>0.55000000000000004</v>
      </c>
      <c r="H2" s="1">
        <v>14110</v>
      </c>
      <c r="I2" s="2" t="s">
        <v>9</v>
      </c>
      <c r="J2" s="2">
        <f>D2*G2</f>
        <v>6.6000000000000005</v>
      </c>
      <c r="K2" s="2"/>
      <c r="L2" s="13" t="s">
        <v>140</v>
      </c>
      <c r="M2" s="13"/>
      <c r="N2" s="13"/>
      <c r="O2" s="13"/>
      <c r="P2" s="13"/>
      <c r="Q2" s="13"/>
      <c r="R2" s="13"/>
      <c r="S2" s="13"/>
      <c r="T2" s="2"/>
      <c r="U2" s="2"/>
      <c r="V2" s="2"/>
      <c r="W2" s="2"/>
      <c r="X2" s="2"/>
      <c r="Y2" s="2"/>
      <c r="Z2" s="2"/>
    </row>
    <row r="3" spans="1:26" ht="15.75" x14ac:dyDescent="0.2">
      <c r="A3" s="1">
        <v>489460</v>
      </c>
      <c r="B3" s="1">
        <v>21977</v>
      </c>
      <c r="C3" s="2" t="s">
        <v>10</v>
      </c>
      <c r="D3" s="1">
        <v>24</v>
      </c>
      <c r="E3" s="3">
        <v>40148.448611111111</v>
      </c>
      <c r="F3" s="3" t="s">
        <v>96</v>
      </c>
      <c r="G3" s="1">
        <v>0.55000000000000004</v>
      </c>
      <c r="H3" s="1">
        <v>16167</v>
      </c>
      <c r="I3" s="2" t="s">
        <v>9</v>
      </c>
      <c r="J3" s="2">
        <f>D3*G3</f>
        <v>13.200000000000001</v>
      </c>
      <c r="K3" s="2"/>
      <c r="L3" s="19" t="s">
        <v>141</v>
      </c>
      <c r="M3" s="19"/>
      <c r="N3" s="19"/>
      <c r="O3" s="19"/>
      <c r="P3" s="19"/>
      <c r="Q3" s="19"/>
      <c r="R3" s="19"/>
      <c r="S3" s="19"/>
      <c r="T3" s="2"/>
      <c r="U3" s="2"/>
      <c r="V3" s="2"/>
      <c r="W3" s="2"/>
      <c r="X3" s="2"/>
      <c r="Y3" s="2"/>
      <c r="Z3" s="2"/>
    </row>
    <row r="4" spans="1:26" ht="15.75" x14ac:dyDescent="0.2">
      <c r="A4" s="1">
        <v>489525</v>
      </c>
      <c r="B4" s="2" t="s">
        <v>11</v>
      </c>
      <c r="C4" s="2" t="s">
        <v>12</v>
      </c>
      <c r="D4" s="1">
        <v>1</v>
      </c>
      <c r="E4" s="3">
        <v>40148.492361111108</v>
      </c>
      <c r="F4" s="3" t="s">
        <v>97</v>
      </c>
      <c r="G4" s="1">
        <v>0.55000000000000004</v>
      </c>
      <c r="H4" s="2">
        <v>13293</v>
      </c>
      <c r="I4" s="2" t="s">
        <v>9</v>
      </c>
      <c r="J4" s="2">
        <f>D4*G4</f>
        <v>0.55000000000000004</v>
      </c>
      <c r="K4" s="2"/>
      <c r="L4" s="19" t="s">
        <v>142</v>
      </c>
      <c r="M4" s="19"/>
      <c r="N4" s="19"/>
      <c r="O4" s="19"/>
      <c r="P4" s="19"/>
      <c r="Q4" s="19"/>
      <c r="R4" s="19"/>
      <c r="S4" s="19"/>
      <c r="T4" s="2"/>
      <c r="U4" s="2"/>
      <c r="V4" s="2"/>
      <c r="W4" s="2"/>
      <c r="X4" s="2"/>
      <c r="Y4" s="2"/>
      <c r="Z4" s="2"/>
    </row>
    <row r="5" spans="1:26" ht="15.75" x14ac:dyDescent="0.2">
      <c r="A5" s="1">
        <v>489520</v>
      </c>
      <c r="B5" s="2" t="s">
        <v>13</v>
      </c>
      <c r="C5" s="2" t="s">
        <v>14</v>
      </c>
      <c r="D5" s="1">
        <v>12</v>
      </c>
      <c r="E5" s="3">
        <v>40148.486805555556</v>
      </c>
      <c r="F5" s="3" t="s">
        <v>97</v>
      </c>
      <c r="G5" s="1">
        <v>0.75</v>
      </c>
      <c r="H5" s="1">
        <v>14911</v>
      </c>
      <c r="I5" s="2" t="s">
        <v>15</v>
      </c>
      <c r="J5" s="2">
        <f>D5*G5</f>
        <v>9</v>
      </c>
      <c r="K5" s="2"/>
      <c r="L5" s="19" t="s">
        <v>143</v>
      </c>
      <c r="M5" s="19"/>
      <c r="N5" s="19"/>
      <c r="O5" s="19"/>
      <c r="P5" s="19"/>
      <c r="Q5" s="19"/>
      <c r="R5" s="19"/>
      <c r="S5" s="19"/>
      <c r="T5" s="2"/>
      <c r="U5" s="2"/>
      <c r="V5" s="2"/>
      <c r="W5" s="2"/>
      <c r="X5" s="2"/>
      <c r="Y5" s="2"/>
      <c r="Z5" s="2"/>
    </row>
    <row r="6" spans="1:26" ht="15.75" x14ac:dyDescent="0.2">
      <c r="A6" s="1">
        <v>489445</v>
      </c>
      <c r="B6" s="2" t="s">
        <v>16</v>
      </c>
      <c r="C6" s="2" t="s">
        <v>17</v>
      </c>
      <c r="D6" s="1">
        <v>12</v>
      </c>
      <c r="E6" s="3">
        <v>40148.414583333331</v>
      </c>
      <c r="F6" s="3" t="s">
        <v>95</v>
      </c>
      <c r="G6" s="1">
        <v>0.85</v>
      </c>
      <c r="H6" s="1">
        <v>17519</v>
      </c>
      <c r="I6" s="2" t="s">
        <v>9</v>
      </c>
      <c r="J6" s="2">
        <f>D6*G6</f>
        <v>10.199999999999999</v>
      </c>
      <c r="K6" s="2"/>
      <c r="L6" s="19" t="s">
        <v>144</v>
      </c>
      <c r="M6" s="19"/>
      <c r="N6" s="19"/>
      <c r="O6" s="19"/>
      <c r="P6" s="19"/>
      <c r="Q6" s="19"/>
      <c r="R6" s="19"/>
      <c r="S6" s="19"/>
      <c r="T6" s="2"/>
      <c r="U6" s="2"/>
      <c r="V6" s="2"/>
      <c r="W6" s="2"/>
      <c r="X6" s="2"/>
      <c r="Y6" s="2"/>
      <c r="Z6" s="2"/>
    </row>
    <row r="7" spans="1:26" ht="15.75" x14ac:dyDescent="0.2">
      <c r="A7" s="1">
        <v>489532</v>
      </c>
      <c r="B7" s="2" t="s">
        <v>18</v>
      </c>
      <c r="C7" s="2" t="s">
        <v>19</v>
      </c>
      <c r="D7" s="1">
        <v>12</v>
      </c>
      <c r="E7" s="3">
        <v>40148.498611111114</v>
      </c>
      <c r="F7" s="3" t="s">
        <v>97</v>
      </c>
      <c r="G7" s="1">
        <v>0.85</v>
      </c>
      <c r="H7" s="1">
        <v>13394</v>
      </c>
      <c r="I7" s="2" t="s">
        <v>9</v>
      </c>
      <c r="J7" s="2">
        <f>D7*G7</f>
        <v>10.199999999999999</v>
      </c>
      <c r="K7" s="2"/>
      <c r="L7" s="19" t="s">
        <v>158</v>
      </c>
      <c r="M7" s="19"/>
      <c r="N7" s="19"/>
      <c r="O7" s="19"/>
      <c r="P7" s="19"/>
      <c r="Q7" s="4"/>
      <c r="R7" s="4"/>
      <c r="S7" s="4"/>
      <c r="T7" s="2"/>
      <c r="U7" s="2"/>
      <c r="V7" s="2"/>
      <c r="W7" s="2"/>
      <c r="X7" s="2"/>
      <c r="Y7" s="2"/>
      <c r="Z7" s="2"/>
    </row>
    <row r="8" spans="1:26" x14ac:dyDescent="0.2">
      <c r="A8" s="1">
        <v>489533</v>
      </c>
      <c r="B8" s="2" t="s">
        <v>20</v>
      </c>
      <c r="C8" s="2" t="s">
        <v>21</v>
      </c>
      <c r="D8" s="1">
        <v>12</v>
      </c>
      <c r="E8" s="3">
        <v>40148.501388888886</v>
      </c>
      <c r="F8" s="3" t="s">
        <v>98</v>
      </c>
      <c r="G8" s="1">
        <v>0.85</v>
      </c>
      <c r="H8" s="1">
        <v>16011</v>
      </c>
      <c r="I8" s="2" t="s">
        <v>9</v>
      </c>
      <c r="J8" s="2">
        <f>D8*G8</f>
        <v>10.199999999999999</v>
      </c>
      <c r="K8" s="2"/>
      <c r="T8" s="2"/>
      <c r="U8" s="2"/>
      <c r="V8" s="2"/>
      <c r="W8" s="2"/>
      <c r="X8" s="2"/>
      <c r="Y8" s="2"/>
      <c r="Z8" s="2"/>
    </row>
    <row r="9" spans="1:26" x14ac:dyDescent="0.2">
      <c r="A9" s="1">
        <v>489531</v>
      </c>
      <c r="B9" s="1">
        <v>21034</v>
      </c>
      <c r="C9" s="2" t="s">
        <v>22</v>
      </c>
      <c r="D9" s="1">
        <v>1</v>
      </c>
      <c r="E9" s="3">
        <v>40148.497916666667</v>
      </c>
      <c r="F9" s="3" t="s">
        <v>97</v>
      </c>
      <c r="G9" s="1">
        <v>0.95</v>
      </c>
      <c r="H9" s="1">
        <v>14871</v>
      </c>
      <c r="I9" s="2" t="s">
        <v>9</v>
      </c>
      <c r="J9" s="2">
        <f>D9*G9</f>
        <v>0.95</v>
      </c>
      <c r="K9" s="2"/>
      <c r="T9" s="2"/>
      <c r="U9" s="2"/>
      <c r="V9" s="2"/>
      <c r="W9" s="2"/>
      <c r="X9" s="2"/>
      <c r="Y9" s="2"/>
      <c r="Z9" s="2"/>
    </row>
    <row r="10" spans="1:26" x14ac:dyDescent="0.2">
      <c r="A10" s="2">
        <v>489449</v>
      </c>
      <c r="B10" s="1">
        <v>21871</v>
      </c>
      <c r="C10" s="2" t="s">
        <v>23</v>
      </c>
      <c r="D10" s="1">
        <v>12</v>
      </c>
      <c r="E10" s="3">
        <v>40148.439583333333</v>
      </c>
      <c r="F10" s="3" t="s">
        <v>96</v>
      </c>
      <c r="G10" s="1">
        <v>1.25</v>
      </c>
      <c r="H10" s="1">
        <v>16321</v>
      </c>
      <c r="I10" s="2" t="s">
        <v>24</v>
      </c>
      <c r="J10" s="2">
        <f>D10*G10</f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">
        <v>489526</v>
      </c>
      <c r="B11" s="2" t="s">
        <v>25</v>
      </c>
      <c r="C11" s="2" t="s">
        <v>26</v>
      </c>
      <c r="D11" s="1">
        <v>12</v>
      </c>
      <c r="E11" s="3">
        <v>40148.493055555555</v>
      </c>
      <c r="F11" s="3" t="s">
        <v>97</v>
      </c>
      <c r="G11" s="1">
        <v>1.25</v>
      </c>
      <c r="H11" s="1">
        <v>12533</v>
      </c>
      <c r="I11" s="2" t="s">
        <v>27</v>
      </c>
      <c r="J11" s="2">
        <f>D11*G11</f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">
        <v>489461</v>
      </c>
      <c r="B12" s="1">
        <v>21248</v>
      </c>
      <c r="C12" s="2" t="s">
        <v>28</v>
      </c>
      <c r="D12" s="1">
        <v>12</v>
      </c>
      <c r="E12" s="3">
        <v>40148.450694444444</v>
      </c>
      <c r="F12" s="3" t="s">
        <v>96</v>
      </c>
      <c r="G12" s="1">
        <v>1.45</v>
      </c>
      <c r="H12" s="1">
        <v>17865</v>
      </c>
      <c r="I12" s="2" t="s">
        <v>9</v>
      </c>
      <c r="J12" s="2">
        <f>D12*G12</f>
        <v>17.399999999999999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">
        <v>489523</v>
      </c>
      <c r="B13" s="1">
        <v>84879</v>
      </c>
      <c r="C13" s="2" t="s">
        <v>29</v>
      </c>
      <c r="D13" s="1">
        <v>800</v>
      </c>
      <c r="E13" s="3">
        <v>40148.490277777775</v>
      </c>
      <c r="F13" s="3" t="s">
        <v>97</v>
      </c>
      <c r="G13" s="1">
        <v>1.45</v>
      </c>
      <c r="H13" s="1">
        <v>12931</v>
      </c>
      <c r="I13" s="2" t="s">
        <v>9</v>
      </c>
      <c r="J13" s="2">
        <f>D13*G13</f>
        <v>1160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">
        <v>489435</v>
      </c>
      <c r="B14" s="1">
        <v>22195</v>
      </c>
      <c r="C14" s="2" t="s">
        <v>30</v>
      </c>
      <c r="D14" s="1">
        <v>24</v>
      </c>
      <c r="E14" s="3">
        <v>40148.323611111111</v>
      </c>
      <c r="F14" s="3" t="s">
        <v>94</v>
      </c>
      <c r="G14" s="1">
        <v>1.65</v>
      </c>
      <c r="H14" s="1">
        <v>13085</v>
      </c>
      <c r="I14" s="2" t="s">
        <v>9</v>
      </c>
      <c r="J14" s="2">
        <f>D14*G14</f>
        <v>39.599999999999994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">
        <v>489514</v>
      </c>
      <c r="B15" s="2" t="s">
        <v>31</v>
      </c>
      <c r="C15" s="2" t="s">
        <v>32</v>
      </c>
      <c r="D15" s="1">
        <v>50</v>
      </c>
      <c r="E15" s="3">
        <v>40148.472916666666</v>
      </c>
      <c r="F15" s="3" t="s">
        <v>97</v>
      </c>
      <c r="G15" s="1">
        <v>1.65</v>
      </c>
      <c r="H15" s="1">
        <v>15311</v>
      </c>
      <c r="I15" s="2" t="s">
        <v>9</v>
      </c>
      <c r="J15" s="2">
        <f>D15*G15</f>
        <v>82.5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>
        <v>489527</v>
      </c>
      <c r="B16" s="1">
        <v>21173</v>
      </c>
      <c r="C16" s="2" t="s">
        <v>33</v>
      </c>
      <c r="D16" s="1">
        <v>12</v>
      </c>
      <c r="E16" s="3">
        <v>40148.493055555555</v>
      </c>
      <c r="F16" s="3" t="s">
        <v>97</v>
      </c>
      <c r="G16" s="1">
        <v>1.65</v>
      </c>
      <c r="H16" s="1">
        <v>16128</v>
      </c>
      <c r="I16" s="2" t="s">
        <v>9</v>
      </c>
      <c r="J16" s="2">
        <f>D16*G16</f>
        <v>19.799999999999997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">
        <v>489438</v>
      </c>
      <c r="B17" s="1">
        <v>21252</v>
      </c>
      <c r="C17" s="2" t="s">
        <v>34</v>
      </c>
      <c r="D17" s="1">
        <v>30</v>
      </c>
      <c r="E17" s="3">
        <v>40148.39166666667</v>
      </c>
      <c r="F17" s="3" t="s">
        <v>95</v>
      </c>
      <c r="G17" s="1">
        <v>1.69</v>
      </c>
      <c r="H17" s="1">
        <v>18102</v>
      </c>
      <c r="I17" s="2" t="s">
        <v>9</v>
      </c>
      <c r="J17" s="2">
        <f>D17*G17</f>
        <v>50.699999999999996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">
        <v>489434</v>
      </c>
      <c r="B18" s="1">
        <v>22041</v>
      </c>
      <c r="C18" s="2" t="s">
        <v>35</v>
      </c>
      <c r="D18" s="1">
        <v>48</v>
      </c>
      <c r="E18" s="3">
        <v>40148.322916666664</v>
      </c>
      <c r="F18" s="3" t="s">
        <v>94</v>
      </c>
      <c r="G18" s="1">
        <v>2.1</v>
      </c>
      <c r="H18" s="1">
        <v>13085</v>
      </c>
      <c r="I18" s="2" t="s">
        <v>9</v>
      </c>
      <c r="J18" s="2">
        <f>D18*G18</f>
        <v>100.80000000000001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">
        <v>489437</v>
      </c>
      <c r="B19" s="1">
        <v>22143</v>
      </c>
      <c r="C19" s="2" t="s">
        <v>36</v>
      </c>
      <c r="D19" s="1">
        <v>6</v>
      </c>
      <c r="E19" s="3">
        <v>40148.380555555559</v>
      </c>
      <c r="F19" s="3" t="s">
        <v>95</v>
      </c>
      <c r="G19" s="1">
        <v>2.1</v>
      </c>
      <c r="H19" s="1">
        <v>15362</v>
      </c>
      <c r="I19" s="2" t="s">
        <v>9</v>
      </c>
      <c r="J19" s="2">
        <f>D19*G19</f>
        <v>12.600000000000001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">
        <v>489450</v>
      </c>
      <c r="B20" s="1">
        <v>21896</v>
      </c>
      <c r="C20" s="2" t="s">
        <v>37</v>
      </c>
      <c r="D20" s="1">
        <v>6</v>
      </c>
      <c r="E20" s="3">
        <v>40148.441666666666</v>
      </c>
      <c r="F20" s="3" t="s">
        <v>96</v>
      </c>
      <c r="G20" s="1">
        <v>2.1</v>
      </c>
      <c r="H20" s="1">
        <v>16321</v>
      </c>
      <c r="I20" s="2" t="s">
        <v>24</v>
      </c>
      <c r="J20" s="2">
        <f>D20*G20</f>
        <v>12.600000000000001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>
        <v>489476</v>
      </c>
      <c r="B21" s="1">
        <v>22149</v>
      </c>
      <c r="C21" s="2" t="s">
        <v>38</v>
      </c>
      <c r="D21" s="1">
        <v>6</v>
      </c>
      <c r="E21" s="3">
        <v>40148.454861111109</v>
      </c>
      <c r="F21" s="3" t="s">
        <v>96</v>
      </c>
      <c r="G21" s="1">
        <v>2.1</v>
      </c>
      <c r="H21" s="1">
        <v>13293</v>
      </c>
      <c r="I21" s="2" t="s">
        <v>9</v>
      </c>
      <c r="J21" s="2">
        <f>D21*G21</f>
        <v>12.600000000000001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">
        <v>489440</v>
      </c>
      <c r="B22" s="1">
        <v>22350</v>
      </c>
      <c r="C22" s="2" t="s">
        <v>39</v>
      </c>
      <c r="D22" s="1">
        <v>8</v>
      </c>
      <c r="E22" s="3">
        <v>40148.404861111114</v>
      </c>
      <c r="F22" s="3" t="s">
        <v>95</v>
      </c>
      <c r="G22" s="1">
        <v>2.5499999999999998</v>
      </c>
      <c r="H22" s="1">
        <v>18087</v>
      </c>
      <c r="I22" s="2" t="s">
        <v>9</v>
      </c>
      <c r="J22" s="2">
        <f>D22*G22</f>
        <v>20.399999999999999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">
        <v>489446</v>
      </c>
      <c r="B23" s="1">
        <v>21733</v>
      </c>
      <c r="C23" s="2" t="s">
        <v>40</v>
      </c>
      <c r="D23" s="1">
        <v>32</v>
      </c>
      <c r="E23" s="3">
        <v>40148.42083333333</v>
      </c>
      <c r="F23" s="3" t="s">
        <v>96</v>
      </c>
      <c r="G23" s="1">
        <v>2.5499999999999998</v>
      </c>
      <c r="H23" s="1">
        <v>13758</v>
      </c>
      <c r="I23" s="2" t="s">
        <v>9</v>
      </c>
      <c r="J23" s="2">
        <f>D23*G23</f>
        <v>81.599999999999994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>
        <v>489504</v>
      </c>
      <c r="B24" s="1">
        <v>85083</v>
      </c>
      <c r="C24" s="2" t="s">
        <v>41</v>
      </c>
      <c r="D24" s="1">
        <v>6</v>
      </c>
      <c r="E24" s="3">
        <v>40148.465277777781</v>
      </c>
      <c r="F24" s="3" t="s">
        <v>97</v>
      </c>
      <c r="G24" s="1">
        <v>2.5499999999999998</v>
      </c>
      <c r="H24" s="1">
        <v>13916</v>
      </c>
      <c r="I24" s="2" t="s">
        <v>9</v>
      </c>
      <c r="J24" s="2">
        <f>D24*G24</f>
        <v>15.299999999999999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">
        <v>489519</v>
      </c>
      <c r="B25" s="1">
        <v>22276</v>
      </c>
      <c r="C25" s="2" t="s">
        <v>42</v>
      </c>
      <c r="D25" s="1">
        <v>6</v>
      </c>
      <c r="E25" s="3">
        <v>40148.484027777777</v>
      </c>
      <c r="F25" s="3" t="s">
        <v>97</v>
      </c>
      <c r="G25" s="1">
        <v>2.5499999999999998</v>
      </c>
      <c r="H25" s="1">
        <v>17700</v>
      </c>
      <c r="I25" s="2" t="s">
        <v>9</v>
      </c>
      <c r="J25" s="2">
        <f>D25*G25</f>
        <v>15.299999999999999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">
        <v>489529</v>
      </c>
      <c r="B26" s="1">
        <v>22300</v>
      </c>
      <c r="C26" s="2" t="s">
        <v>43</v>
      </c>
      <c r="D26" s="1">
        <v>6</v>
      </c>
      <c r="E26" s="3">
        <v>40148.493750000001</v>
      </c>
      <c r="F26" s="3" t="s">
        <v>97</v>
      </c>
      <c r="G26" s="1">
        <v>2.5499999999999998</v>
      </c>
      <c r="H26" s="1">
        <v>17984</v>
      </c>
      <c r="I26" s="2" t="s">
        <v>9</v>
      </c>
      <c r="J26" s="2">
        <f>D26*G26</f>
        <v>15.299999999999999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">
        <v>489488</v>
      </c>
      <c r="B27" s="2" t="s">
        <v>44</v>
      </c>
      <c r="C27" s="2" t="s">
        <v>45</v>
      </c>
      <c r="D27" s="1">
        <v>1</v>
      </c>
      <c r="E27" s="3">
        <v>40148.457638888889</v>
      </c>
      <c r="F27" s="3" t="s">
        <v>96</v>
      </c>
      <c r="G27" s="1">
        <v>2.95</v>
      </c>
      <c r="H27" s="1">
        <v>17238</v>
      </c>
      <c r="I27" s="2" t="s">
        <v>9</v>
      </c>
      <c r="J27" s="2">
        <f>D27*G27</f>
        <v>2.95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">
        <v>489517</v>
      </c>
      <c r="B28" s="2" t="s">
        <v>46</v>
      </c>
      <c r="C28" s="2" t="s">
        <v>47</v>
      </c>
      <c r="D28" s="1">
        <v>2</v>
      </c>
      <c r="E28" s="3">
        <v>40148.481944444444</v>
      </c>
      <c r="F28" s="3" t="s">
        <v>97</v>
      </c>
      <c r="G28" s="1">
        <v>2.95</v>
      </c>
      <c r="H28" s="1">
        <v>16329</v>
      </c>
      <c r="I28" s="2" t="s">
        <v>9</v>
      </c>
      <c r="J28" s="2">
        <f>D28*G28</f>
        <v>5.9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">
        <v>489545</v>
      </c>
      <c r="B29" s="1">
        <v>22113</v>
      </c>
      <c r="C29" s="2" t="s">
        <v>48</v>
      </c>
      <c r="D29" s="1">
        <v>1</v>
      </c>
      <c r="E29" s="3">
        <v>40148.515277777777</v>
      </c>
      <c r="F29" s="3" t="s">
        <v>98</v>
      </c>
      <c r="G29" s="1">
        <v>3.45</v>
      </c>
      <c r="H29" s="1">
        <v>17804</v>
      </c>
      <c r="I29" s="2" t="s">
        <v>9</v>
      </c>
      <c r="J29" s="2">
        <f>D29*G29</f>
        <v>3.45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">
        <v>489537</v>
      </c>
      <c r="B30" s="1">
        <v>20967</v>
      </c>
      <c r="C30" s="2" t="s">
        <v>49</v>
      </c>
      <c r="D30" s="1">
        <v>2</v>
      </c>
      <c r="E30" s="3">
        <v>40148.509722222225</v>
      </c>
      <c r="F30" s="3" t="s">
        <v>98</v>
      </c>
      <c r="G30" s="1">
        <v>3.75</v>
      </c>
      <c r="H30" s="1">
        <v>14040</v>
      </c>
      <c r="I30" s="2" t="s">
        <v>9</v>
      </c>
      <c r="J30" s="2">
        <f>D30*G30</f>
        <v>7.5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">
        <v>489441</v>
      </c>
      <c r="B31" s="1">
        <v>22138</v>
      </c>
      <c r="C31" s="2" t="s">
        <v>50</v>
      </c>
      <c r="D31" s="1">
        <v>6</v>
      </c>
      <c r="E31" s="3">
        <v>40148.405555555553</v>
      </c>
      <c r="F31" s="3" t="s">
        <v>95</v>
      </c>
      <c r="G31" s="1">
        <v>4.25</v>
      </c>
      <c r="H31" s="1">
        <v>18087</v>
      </c>
      <c r="I31" s="2" t="s">
        <v>9</v>
      </c>
      <c r="J31" s="2">
        <f>D31*G31</f>
        <v>25.5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">
        <v>489448</v>
      </c>
      <c r="B32" s="1">
        <v>20823</v>
      </c>
      <c r="C32" s="2" t="s">
        <v>51</v>
      </c>
      <c r="D32" s="1">
        <v>48</v>
      </c>
      <c r="E32" s="3">
        <v>40148.429166666669</v>
      </c>
      <c r="F32" s="3" t="s">
        <v>96</v>
      </c>
      <c r="G32" s="1">
        <v>4.25</v>
      </c>
      <c r="H32" s="1">
        <v>15413</v>
      </c>
      <c r="I32" s="2" t="s">
        <v>9</v>
      </c>
      <c r="J32" s="2">
        <f>D32*G32</f>
        <v>204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>
        <v>489459</v>
      </c>
      <c r="B33" s="2" t="s">
        <v>52</v>
      </c>
      <c r="C33" s="2" t="s">
        <v>53</v>
      </c>
      <c r="D33" s="1">
        <v>3</v>
      </c>
      <c r="E33" s="3">
        <v>40148.447222222225</v>
      </c>
      <c r="F33" s="3" t="s">
        <v>96</v>
      </c>
      <c r="G33" s="1">
        <v>4.25</v>
      </c>
      <c r="H33" s="1">
        <v>17592</v>
      </c>
      <c r="I33" s="2" t="s">
        <v>9</v>
      </c>
      <c r="J33" s="2">
        <f>D33*G33</f>
        <v>12.75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">
        <v>489462</v>
      </c>
      <c r="B34" s="2" t="s">
        <v>52</v>
      </c>
      <c r="C34" s="2" t="s">
        <v>53</v>
      </c>
      <c r="D34" s="1">
        <v>3</v>
      </c>
      <c r="E34" s="3">
        <v>40148.450694444444</v>
      </c>
      <c r="F34" s="3" t="s">
        <v>96</v>
      </c>
      <c r="G34" s="1">
        <v>4.25</v>
      </c>
      <c r="H34" s="1">
        <v>17592</v>
      </c>
      <c r="I34" s="2" t="s">
        <v>9</v>
      </c>
      <c r="J34" s="2">
        <f>D34*G34</f>
        <v>12.75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">
        <v>489462</v>
      </c>
      <c r="B35" s="2" t="s">
        <v>54</v>
      </c>
      <c r="C35" s="2" t="s">
        <v>55</v>
      </c>
      <c r="D35" s="1">
        <v>3</v>
      </c>
      <c r="E35" s="3">
        <v>40148.450694444444</v>
      </c>
      <c r="F35" s="3" t="s">
        <v>96</v>
      </c>
      <c r="G35" s="1">
        <v>4.25</v>
      </c>
      <c r="H35" s="1">
        <v>17592</v>
      </c>
      <c r="I35" s="2" t="s">
        <v>9</v>
      </c>
      <c r="J35" s="2">
        <f>D35*G35</f>
        <v>12.75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>
        <v>489503</v>
      </c>
      <c r="B36" s="1">
        <v>21540</v>
      </c>
      <c r="C36" s="2" t="s">
        <v>56</v>
      </c>
      <c r="D36" s="1">
        <v>2</v>
      </c>
      <c r="E36" s="3">
        <v>40148.461111111108</v>
      </c>
      <c r="F36" s="3" t="s">
        <v>97</v>
      </c>
      <c r="G36" s="1">
        <v>4.25</v>
      </c>
      <c r="H36" s="1">
        <v>16011</v>
      </c>
      <c r="I36" s="2" t="s">
        <v>9</v>
      </c>
      <c r="J36" s="2">
        <f>D36*G36</f>
        <v>8.5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>
        <v>489530</v>
      </c>
      <c r="B37" s="2" t="s">
        <v>57</v>
      </c>
      <c r="C37" s="2" t="s">
        <v>58</v>
      </c>
      <c r="D37" s="1">
        <v>1</v>
      </c>
      <c r="E37" s="3">
        <v>40148.49722222222</v>
      </c>
      <c r="F37" s="3" t="s">
        <v>97</v>
      </c>
      <c r="G37" s="1">
        <v>4.25</v>
      </c>
      <c r="H37" s="1">
        <v>14748</v>
      </c>
      <c r="I37" s="2" t="s">
        <v>9</v>
      </c>
      <c r="J37" s="2">
        <f>D37*G37</f>
        <v>4.25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1">
        <v>489439</v>
      </c>
      <c r="B38" s="1">
        <v>22138</v>
      </c>
      <c r="C38" s="2" t="s">
        <v>50</v>
      </c>
      <c r="D38" s="1">
        <v>9</v>
      </c>
      <c r="E38" s="3">
        <v>40148.394444444442</v>
      </c>
      <c r="F38" s="3" t="s">
        <v>95</v>
      </c>
      <c r="G38" s="1">
        <v>4.95</v>
      </c>
      <c r="H38" s="1">
        <v>12682</v>
      </c>
      <c r="I38" s="2" t="s">
        <v>59</v>
      </c>
      <c r="J38" s="2">
        <f>D38*G38</f>
        <v>44.550000000000004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">
        <v>489442</v>
      </c>
      <c r="B39" s="1">
        <v>22111</v>
      </c>
      <c r="C39" s="2" t="s">
        <v>60</v>
      </c>
      <c r="D39" s="1">
        <v>3</v>
      </c>
      <c r="E39" s="3">
        <v>40148.406944444447</v>
      </c>
      <c r="F39" s="3" t="s">
        <v>95</v>
      </c>
      <c r="G39" s="1">
        <v>4.95</v>
      </c>
      <c r="H39" s="1">
        <v>13635</v>
      </c>
      <c r="I39" s="2" t="s">
        <v>9</v>
      </c>
      <c r="J39" s="2">
        <f>D39*G39</f>
        <v>14.850000000000001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1">
        <v>489465</v>
      </c>
      <c r="B40" s="1">
        <v>21707</v>
      </c>
      <c r="C40" s="2" t="s">
        <v>61</v>
      </c>
      <c r="D40" s="1">
        <v>12</v>
      </c>
      <c r="E40" s="3">
        <v>40148.452777777777</v>
      </c>
      <c r="F40" s="3" t="s">
        <v>96</v>
      </c>
      <c r="G40" s="1">
        <v>4.95</v>
      </c>
      <c r="H40" s="1">
        <v>13767</v>
      </c>
      <c r="I40" s="2" t="s">
        <v>9</v>
      </c>
      <c r="J40" s="2">
        <f>D40*G40</f>
        <v>59.400000000000006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1">
        <v>489436</v>
      </c>
      <c r="B41" s="2" t="s">
        <v>62</v>
      </c>
      <c r="C41" s="2" t="s">
        <v>63</v>
      </c>
      <c r="D41" s="1">
        <v>10</v>
      </c>
      <c r="E41" s="3">
        <v>40148.379166666666</v>
      </c>
      <c r="F41" s="3" t="s">
        <v>95</v>
      </c>
      <c r="G41" s="1">
        <v>5.95</v>
      </c>
      <c r="H41" s="1">
        <v>13078</v>
      </c>
      <c r="I41" s="2" t="s">
        <v>9</v>
      </c>
      <c r="J41" s="2">
        <f>D41*G41</f>
        <v>59.5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1">
        <v>489505</v>
      </c>
      <c r="B42" s="1">
        <v>48185</v>
      </c>
      <c r="C42" s="2" t="s">
        <v>64</v>
      </c>
      <c r="D42" s="1">
        <v>10</v>
      </c>
      <c r="E42" s="3">
        <v>40148.470138888886</v>
      </c>
      <c r="F42" s="3" t="s">
        <v>97</v>
      </c>
      <c r="G42" s="1">
        <v>5.95</v>
      </c>
      <c r="H42" s="1">
        <v>15712</v>
      </c>
      <c r="I42" s="2" t="s">
        <v>9</v>
      </c>
      <c r="J42" s="2">
        <f>D42*G42</f>
        <v>59.5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>
        <v>489534</v>
      </c>
      <c r="B43" s="1">
        <v>35832</v>
      </c>
      <c r="C43" s="2" t="s">
        <v>65</v>
      </c>
      <c r="D43" s="1">
        <v>1</v>
      </c>
      <c r="E43" s="3">
        <v>40148.506249999999</v>
      </c>
      <c r="F43" s="3" t="s">
        <v>98</v>
      </c>
      <c r="G43" s="1">
        <v>5.95</v>
      </c>
      <c r="H43" s="1">
        <v>12615</v>
      </c>
      <c r="I43" s="2" t="s">
        <v>59</v>
      </c>
      <c r="J43" s="2">
        <f>D43*G43</f>
        <v>5.95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>
        <v>489528</v>
      </c>
      <c r="B44" s="1">
        <v>85048</v>
      </c>
      <c r="C44" s="2" t="s">
        <v>66</v>
      </c>
      <c r="D44" s="1">
        <v>1</v>
      </c>
      <c r="E44" s="3">
        <v>40148.493055555555</v>
      </c>
      <c r="F44" s="3" t="s">
        <v>97</v>
      </c>
      <c r="G44" s="1">
        <v>7.95</v>
      </c>
      <c r="H44" s="1">
        <v>16714</v>
      </c>
      <c r="I44" s="2" t="s">
        <v>9</v>
      </c>
      <c r="J44" s="2">
        <f>D44*G44</f>
        <v>7.95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1">
        <v>489522</v>
      </c>
      <c r="B45" s="2" t="s">
        <v>67</v>
      </c>
      <c r="C45" s="2" t="s">
        <v>68</v>
      </c>
      <c r="D45" s="1">
        <v>1</v>
      </c>
      <c r="E45" s="3">
        <v>40148.489583333336</v>
      </c>
      <c r="F45" s="3" t="s">
        <v>97</v>
      </c>
      <c r="G45" s="1">
        <v>9.9499999999999993</v>
      </c>
      <c r="H45" s="1">
        <v>15998</v>
      </c>
      <c r="I45" s="2" t="s">
        <v>9</v>
      </c>
      <c r="J45" s="2">
        <f>D45*G45</f>
        <v>9.9499999999999993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>
        <v>489518</v>
      </c>
      <c r="B46" s="1">
        <v>20892</v>
      </c>
      <c r="C46" s="2" t="s">
        <v>69</v>
      </c>
      <c r="D46" s="1">
        <v>2</v>
      </c>
      <c r="E46" s="3">
        <v>40148.482638888891</v>
      </c>
      <c r="F46" s="3" t="s">
        <v>97</v>
      </c>
      <c r="G46" s="1">
        <v>12.75</v>
      </c>
      <c r="H46" s="1">
        <v>15461</v>
      </c>
      <c r="I46" s="2" t="s">
        <v>9</v>
      </c>
      <c r="J46" s="2">
        <f>D46*G46</f>
        <v>25.5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1"/>
      <c r="B47" s="1"/>
      <c r="C47" s="2"/>
      <c r="D47" s="1"/>
      <c r="E47" s="3"/>
      <c r="F47" s="3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1"/>
      <c r="B48" s="1"/>
      <c r="C48" s="2"/>
      <c r="D48" s="1"/>
      <c r="E48" s="3"/>
      <c r="F48" s="3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1"/>
      <c r="B49" s="1"/>
      <c r="C49" s="2"/>
      <c r="D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1"/>
      <c r="B50" s="1"/>
      <c r="C50" s="2"/>
      <c r="D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1"/>
      <c r="B51" s="1"/>
      <c r="C51" s="2"/>
      <c r="D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1"/>
      <c r="B52" s="1"/>
      <c r="C52" s="2"/>
      <c r="D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1"/>
      <c r="B53" s="1"/>
      <c r="C53" s="2"/>
      <c r="D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1"/>
      <c r="B54" s="1"/>
      <c r="C54" s="2"/>
      <c r="D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1"/>
      <c r="B55" s="1"/>
      <c r="C55" s="2"/>
      <c r="D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1"/>
      <c r="B56" s="1"/>
      <c r="C56" s="2"/>
      <c r="D56" s="1"/>
      <c r="E56" s="3"/>
      <c r="F56" s="3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1"/>
      <c r="B57" s="1"/>
      <c r="C57" s="2"/>
      <c r="D57" s="1"/>
      <c r="E57" s="3"/>
      <c r="F57" s="3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1"/>
      <c r="B58" s="1"/>
      <c r="C58" s="2"/>
      <c r="D58" s="1"/>
      <c r="E58" s="3"/>
      <c r="F58" s="3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1"/>
      <c r="B59" s="1"/>
      <c r="C59" s="2"/>
      <c r="D59" s="1"/>
      <c r="E59" s="3"/>
      <c r="F59" s="3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1"/>
      <c r="B60" s="1"/>
      <c r="C60" s="2"/>
      <c r="D60" s="1"/>
      <c r="E60" s="3"/>
      <c r="F60" s="3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1"/>
      <c r="B61" s="1"/>
      <c r="C61" s="2"/>
      <c r="D61" s="1"/>
      <c r="E61" s="3"/>
      <c r="F61" s="3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1"/>
      <c r="B62" s="1"/>
      <c r="C62" s="2"/>
      <c r="D62" s="1"/>
      <c r="E62" s="3"/>
      <c r="F62" s="3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1"/>
      <c r="B63" s="1"/>
      <c r="C63" s="2"/>
      <c r="D63" s="1"/>
      <c r="E63" s="3"/>
      <c r="F63" s="3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1"/>
      <c r="B64" s="1"/>
      <c r="C64" s="2"/>
      <c r="D64" s="1"/>
      <c r="E64" s="3"/>
      <c r="F64" s="3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1"/>
      <c r="B65" s="1"/>
      <c r="C65" s="2"/>
      <c r="D65" s="1"/>
      <c r="E65" s="3"/>
      <c r="F65" s="3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1"/>
      <c r="B66" s="1"/>
      <c r="C66" s="2"/>
      <c r="D66" s="1"/>
      <c r="E66" s="3"/>
      <c r="F66" s="3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1"/>
      <c r="B67" s="1"/>
      <c r="C67" s="2"/>
      <c r="D67" s="1"/>
      <c r="E67" s="3"/>
      <c r="F67" s="3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1"/>
      <c r="B68" s="1"/>
      <c r="C68" s="2"/>
      <c r="D68" s="1"/>
      <c r="E68" s="3"/>
      <c r="F68" s="3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1"/>
      <c r="B69" s="1"/>
      <c r="C69" s="2"/>
      <c r="D69" s="1"/>
      <c r="E69" s="3"/>
      <c r="F69" s="3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1"/>
      <c r="B70" s="1"/>
      <c r="C70" s="2"/>
      <c r="D70" s="1"/>
      <c r="E70" s="3"/>
      <c r="F70" s="3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1"/>
      <c r="B71" s="1"/>
      <c r="C71" s="2"/>
      <c r="D71" s="1"/>
      <c r="E71" s="3"/>
      <c r="F71" s="3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1"/>
      <c r="B72" s="1"/>
      <c r="C72" s="2"/>
      <c r="D72" s="1"/>
      <c r="E72" s="3"/>
      <c r="F72" s="3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1"/>
      <c r="B73" s="1"/>
      <c r="C73" s="2"/>
      <c r="D73" s="1"/>
      <c r="E73" s="3"/>
      <c r="F73" s="3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1"/>
      <c r="B74" s="1"/>
      <c r="C74" s="2"/>
      <c r="D74" s="1"/>
      <c r="E74" s="3"/>
      <c r="F74" s="3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1"/>
      <c r="B75" s="1"/>
      <c r="C75" s="2"/>
      <c r="D75" s="1"/>
      <c r="E75" s="3"/>
      <c r="F75" s="3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1"/>
      <c r="B76" s="1"/>
      <c r="C76" s="2"/>
      <c r="D76" s="1"/>
      <c r="E76" s="3"/>
      <c r="F76" s="3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1"/>
      <c r="B77" s="1"/>
      <c r="C77" s="2"/>
      <c r="D77" s="1"/>
      <c r="E77" s="3"/>
      <c r="F77" s="3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1"/>
      <c r="B78" s="1"/>
      <c r="C78" s="2"/>
      <c r="D78" s="1"/>
      <c r="E78" s="3"/>
      <c r="F78" s="3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1"/>
      <c r="B79" s="1"/>
      <c r="C79" s="2"/>
      <c r="D79" s="1"/>
      <c r="E79" s="3"/>
      <c r="F79" s="3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1"/>
      <c r="B80" s="1"/>
      <c r="C80" s="2"/>
      <c r="D80" s="1"/>
      <c r="E80" s="3"/>
      <c r="F80" s="3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1"/>
      <c r="B81" s="1"/>
      <c r="C81" s="2"/>
      <c r="D81" s="1"/>
      <c r="E81" s="3"/>
      <c r="F81" s="3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1"/>
      <c r="B82" s="1"/>
      <c r="C82" s="2"/>
      <c r="D82" s="1"/>
      <c r="E82" s="3"/>
      <c r="F82" s="3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1"/>
      <c r="B83" s="1"/>
      <c r="C83" s="2"/>
      <c r="D83" s="1"/>
      <c r="E83" s="3"/>
      <c r="F83" s="3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1"/>
      <c r="B84" s="1"/>
      <c r="C84" s="2"/>
      <c r="D84" s="1"/>
      <c r="E84" s="3"/>
      <c r="F84" s="3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1"/>
      <c r="B85" s="1"/>
      <c r="C85" s="2"/>
      <c r="D85" s="1"/>
      <c r="E85" s="3"/>
      <c r="F85" s="3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1"/>
      <c r="B86" s="1"/>
      <c r="C86" s="2"/>
      <c r="D86" s="1"/>
      <c r="E86" s="3"/>
      <c r="F86" s="3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1"/>
      <c r="B87" s="1"/>
      <c r="C87" s="2"/>
      <c r="D87" s="1"/>
      <c r="E87" s="3"/>
      <c r="F87" s="3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1"/>
      <c r="B88" s="1"/>
      <c r="C88" s="2"/>
      <c r="D88" s="1"/>
      <c r="E88" s="3"/>
      <c r="F88" s="3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1"/>
      <c r="B89" s="1"/>
      <c r="C89" s="2"/>
      <c r="D89" s="1"/>
      <c r="E89" s="3"/>
      <c r="F89" s="3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1"/>
      <c r="B90" s="1"/>
      <c r="C90" s="2"/>
      <c r="D90" s="1"/>
      <c r="E90" s="3"/>
      <c r="F90" s="3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1"/>
      <c r="B91" s="1"/>
      <c r="C91" s="2"/>
      <c r="D91" s="1"/>
      <c r="E91" s="3"/>
      <c r="F91" s="3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1"/>
      <c r="B92" s="1"/>
      <c r="C92" s="2"/>
      <c r="D92" s="1"/>
      <c r="E92" s="3"/>
      <c r="F92" s="3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1"/>
      <c r="B93" s="1"/>
      <c r="C93" s="2"/>
      <c r="D93" s="1"/>
      <c r="E93" s="3"/>
      <c r="F93" s="3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1"/>
      <c r="B94" s="1"/>
      <c r="C94" s="2"/>
      <c r="D94" s="1"/>
      <c r="E94" s="3"/>
      <c r="F94" s="3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1"/>
      <c r="B95" s="1"/>
      <c r="C95" s="2"/>
      <c r="D95" s="1"/>
      <c r="E95" s="3"/>
      <c r="F95" s="3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1"/>
      <c r="B96" s="1"/>
      <c r="C96" s="2"/>
      <c r="D96" s="1"/>
      <c r="E96" s="3"/>
      <c r="F96" s="3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1"/>
      <c r="B97" s="1"/>
      <c r="C97" s="2"/>
      <c r="D97" s="1"/>
      <c r="E97" s="3"/>
      <c r="F97" s="3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1"/>
      <c r="B98" s="1"/>
      <c r="C98" s="2"/>
      <c r="D98" s="1"/>
      <c r="E98" s="3"/>
      <c r="F98" s="3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1"/>
      <c r="B99" s="1"/>
      <c r="C99" s="2"/>
      <c r="D99" s="1"/>
      <c r="E99" s="3"/>
      <c r="F99" s="3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1"/>
      <c r="B100" s="1"/>
      <c r="C100" s="2"/>
      <c r="D100" s="1"/>
      <c r="E100" s="3"/>
      <c r="F100" s="3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1"/>
      <c r="B101" s="1"/>
      <c r="C101" s="2"/>
      <c r="D101" s="1"/>
      <c r="E101" s="3"/>
      <c r="F101" s="3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1"/>
      <c r="B102" s="1"/>
      <c r="C102" s="2"/>
      <c r="D102" s="1"/>
      <c r="E102" s="3"/>
      <c r="F102" s="3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1"/>
      <c r="B103" s="1"/>
      <c r="C103" s="2"/>
      <c r="D103" s="1"/>
      <c r="E103" s="3"/>
      <c r="F103" s="3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1"/>
      <c r="B104" s="1"/>
      <c r="C104" s="2"/>
      <c r="D104" s="1"/>
      <c r="E104" s="3"/>
      <c r="F104" s="3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1"/>
      <c r="B105" s="1"/>
      <c r="C105" s="2"/>
      <c r="D105" s="1"/>
      <c r="E105" s="3"/>
      <c r="F105" s="3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1"/>
      <c r="B106" s="1"/>
      <c r="C106" s="2"/>
      <c r="D106" s="1"/>
      <c r="E106" s="3"/>
      <c r="F106" s="3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1"/>
      <c r="B107" s="1"/>
      <c r="C107" s="2"/>
      <c r="D107" s="1"/>
      <c r="E107" s="3"/>
      <c r="F107" s="3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1"/>
      <c r="B108" s="1"/>
      <c r="C108" s="2"/>
      <c r="D108" s="1"/>
      <c r="E108" s="3"/>
      <c r="F108" s="3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1"/>
      <c r="B109" s="1"/>
      <c r="C109" s="2"/>
      <c r="D109" s="1"/>
      <c r="E109" s="3"/>
      <c r="F109" s="3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1"/>
      <c r="B110" s="1"/>
      <c r="C110" s="2"/>
      <c r="D110" s="1"/>
      <c r="E110" s="3"/>
      <c r="F110" s="3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1"/>
      <c r="B111" s="1"/>
      <c r="C111" s="2"/>
      <c r="D111" s="1"/>
      <c r="E111" s="3"/>
      <c r="F111" s="3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1"/>
      <c r="B112" s="1"/>
      <c r="C112" s="2"/>
      <c r="D112" s="1"/>
      <c r="E112" s="3"/>
      <c r="F112" s="3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1"/>
      <c r="B113" s="1"/>
      <c r="C113" s="2"/>
      <c r="D113" s="1"/>
      <c r="E113" s="3"/>
      <c r="F113" s="3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1"/>
      <c r="B114" s="1"/>
      <c r="C114" s="2"/>
      <c r="D114" s="1"/>
      <c r="E114" s="3"/>
      <c r="F114" s="3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1"/>
      <c r="B115" s="1"/>
      <c r="C115" s="2"/>
      <c r="D115" s="1"/>
      <c r="E115" s="3"/>
      <c r="F115" s="3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1"/>
      <c r="B116" s="1"/>
      <c r="C116" s="2"/>
      <c r="D116" s="1"/>
      <c r="E116" s="3"/>
      <c r="F116" s="3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1"/>
      <c r="B117" s="1"/>
      <c r="C117" s="2"/>
      <c r="D117" s="1"/>
      <c r="E117" s="3"/>
      <c r="F117" s="3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1"/>
      <c r="B118" s="1"/>
      <c r="C118" s="2"/>
      <c r="D118" s="1"/>
      <c r="E118" s="3"/>
      <c r="F118" s="3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1"/>
      <c r="B119" s="1"/>
      <c r="C119" s="2"/>
      <c r="D119" s="1"/>
      <c r="E119" s="3"/>
      <c r="F119" s="3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1"/>
      <c r="B120" s="1"/>
      <c r="C120" s="2"/>
      <c r="D120" s="1"/>
      <c r="E120" s="3"/>
      <c r="F120" s="3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1"/>
      <c r="B121" s="1"/>
      <c r="C121" s="2"/>
      <c r="D121" s="1"/>
      <c r="E121" s="3"/>
      <c r="F121" s="3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1"/>
      <c r="B122" s="1"/>
      <c r="C122" s="2"/>
      <c r="D122" s="1"/>
      <c r="E122" s="3"/>
      <c r="F122" s="3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1"/>
      <c r="B123" s="1"/>
      <c r="C123" s="2"/>
      <c r="D123" s="1"/>
      <c r="E123" s="3"/>
      <c r="F123" s="3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1"/>
      <c r="B124" s="1"/>
      <c r="C124" s="2"/>
      <c r="D124" s="1"/>
      <c r="E124" s="3"/>
      <c r="F124" s="3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1"/>
      <c r="B125" s="1"/>
      <c r="C125" s="2"/>
      <c r="D125" s="1"/>
      <c r="E125" s="3"/>
      <c r="F125" s="3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1"/>
      <c r="B126" s="1"/>
      <c r="C126" s="2"/>
      <c r="D126" s="1"/>
      <c r="E126" s="3"/>
      <c r="F126" s="3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1"/>
      <c r="B127" s="1"/>
      <c r="C127" s="2"/>
      <c r="D127" s="1"/>
      <c r="E127" s="3"/>
      <c r="F127" s="3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1"/>
      <c r="B128" s="1"/>
      <c r="C128" s="2"/>
      <c r="D128" s="1"/>
      <c r="E128" s="3"/>
      <c r="F128" s="3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1"/>
      <c r="B129" s="1"/>
      <c r="C129" s="2"/>
      <c r="D129" s="1"/>
      <c r="E129" s="3"/>
      <c r="F129" s="3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1"/>
      <c r="B130" s="1"/>
      <c r="C130" s="2"/>
      <c r="D130" s="1"/>
      <c r="E130" s="3"/>
      <c r="F130" s="3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1"/>
      <c r="B131" s="1"/>
      <c r="C131" s="2"/>
      <c r="D131" s="1"/>
      <c r="E131" s="3"/>
      <c r="F131" s="3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1"/>
      <c r="B132" s="1"/>
      <c r="C132" s="2"/>
      <c r="D132" s="1"/>
      <c r="E132" s="3"/>
      <c r="F132" s="3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1"/>
      <c r="B133" s="1"/>
      <c r="C133" s="2"/>
      <c r="D133" s="1"/>
      <c r="E133" s="3"/>
      <c r="F133" s="3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1"/>
      <c r="B134" s="1"/>
      <c r="C134" s="2"/>
      <c r="D134" s="1"/>
      <c r="E134" s="3"/>
      <c r="F134" s="3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1"/>
      <c r="B135" s="1"/>
      <c r="C135" s="2"/>
      <c r="D135" s="1"/>
      <c r="E135" s="3"/>
      <c r="F135" s="3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1"/>
      <c r="B136" s="1"/>
      <c r="C136" s="2"/>
      <c r="D136" s="1"/>
      <c r="E136" s="3"/>
      <c r="F136" s="3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1"/>
      <c r="B137" s="1"/>
      <c r="C137" s="2"/>
      <c r="D137" s="1"/>
      <c r="E137" s="3"/>
      <c r="F137" s="3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1"/>
      <c r="B138" s="1"/>
      <c r="C138" s="2"/>
      <c r="D138" s="1"/>
      <c r="E138" s="3"/>
      <c r="F138" s="3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1"/>
      <c r="B139" s="1"/>
      <c r="C139" s="2"/>
      <c r="D139" s="1"/>
      <c r="E139" s="3"/>
      <c r="F139" s="3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1"/>
      <c r="B140" s="1"/>
      <c r="C140" s="2"/>
      <c r="D140" s="1"/>
      <c r="E140" s="3"/>
      <c r="F140" s="3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1"/>
      <c r="B141" s="1"/>
      <c r="C141" s="2"/>
      <c r="D141" s="1"/>
      <c r="E141" s="3"/>
      <c r="F141" s="3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1"/>
      <c r="B142" s="1"/>
      <c r="C142" s="2"/>
      <c r="D142" s="1"/>
      <c r="E142" s="3"/>
      <c r="F142" s="3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1"/>
      <c r="B143" s="1"/>
      <c r="C143" s="2"/>
      <c r="D143" s="1"/>
      <c r="E143" s="3"/>
      <c r="F143" s="3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1"/>
      <c r="B144" s="1"/>
      <c r="C144" s="2"/>
      <c r="D144" s="1"/>
      <c r="E144" s="3"/>
      <c r="F144" s="3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1"/>
      <c r="B145" s="1"/>
      <c r="C145" s="2"/>
      <c r="D145" s="1"/>
      <c r="E145" s="3"/>
      <c r="F145" s="3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1"/>
      <c r="B146" s="1"/>
      <c r="C146" s="2"/>
      <c r="D146" s="1"/>
      <c r="E146" s="3"/>
      <c r="F146" s="3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1"/>
      <c r="B147" s="1"/>
      <c r="C147" s="2"/>
      <c r="D147" s="1"/>
      <c r="E147" s="3"/>
      <c r="F147" s="3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1"/>
      <c r="B148" s="1"/>
      <c r="C148" s="2"/>
      <c r="D148" s="1"/>
      <c r="E148" s="3"/>
      <c r="F148" s="3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1"/>
      <c r="B149" s="1"/>
      <c r="C149" s="2"/>
      <c r="D149" s="1"/>
      <c r="E149" s="3"/>
      <c r="F149" s="3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1"/>
      <c r="B150" s="1"/>
      <c r="C150" s="2"/>
      <c r="D150" s="1"/>
      <c r="E150" s="3"/>
      <c r="F150" s="3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1"/>
      <c r="B151" s="1"/>
      <c r="C151" s="2"/>
      <c r="D151" s="1"/>
      <c r="E151" s="3"/>
      <c r="F151" s="3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1"/>
      <c r="B152" s="1"/>
      <c r="C152" s="2"/>
      <c r="D152" s="1"/>
      <c r="E152" s="3"/>
      <c r="F152" s="3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1"/>
      <c r="B153" s="1"/>
      <c r="C153" s="2"/>
      <c r="D153" s="1"/>
      <c r="E153" s="3"/>
      <c r="F153" s="3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1"/>
      <c r="B154" s="1"/>
      <c r="C154" s="2"/>
      <c r="D154" s="1"/>
      <c r="E154" s="3"/>
      <c r="F154" s="3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1"/>
      <c r="B155" s="1"/>
      <c r="C155" s="2"/>
      <c r="D155" s="1"/>
      <c r="E155" s="3"/>
      <c r="F155" s="3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1"/>
      <c r="B156" s="1"/>
      <c r="C156" s="2"/>
      <c r="D156" s="1"/>
      <c r="E156" s="3"/>
      <c r="F156" s="3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1"/>
      <c r="B157" s="1"/>
      <c r="C157" s="2"/>
      <c r="D157" s="1"/>
      <c r="E157" s="3"/>
      <c r="F157" s="3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1"/>
      <c r="B158" s="1"/>
      <c r="C158" s="2"/>
      <c r="D158" s="1"/>
      <c r="E158" s="3"/>
      <c r="F158" s="3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1"/>
      <c r="B159" s="1"/>
      <c r="C159" s="2"/>
      <c r="D159" s="1"/>
      <c r="E159" s="3"/>
      <c r="F159" s="3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1"/>
      <c r="B160" s="1"/>
      <c r="C160" s="2"/>
      <c r="D160" s="1"/>
      <c r="E160" s="3"/>
      <c r="F160" s="3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1"/>
      <c r="B161" s="1"/>
      <c r="C161" s="2"/>
      <c r="D161" s="1"/>
      <c r="E161" s="3"/>
      <c r="F161" s="3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1"/>
      <c r="B162" s="1"/>
      <c r="C162" s="2"/>
      <c r="D162" s="1"/>
      <c r="E162" s="3"/>
      <c r="F162" s="3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1"/>
      <c r="B163" s="1"/>
      <c r="C163" s="2"/>
      <c r="D163" s="1"/>
      <c r="E163" s="3"/>
      <c r="F163" s="3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1"/>
      <c r="B164" s="1"/>
      <c r="C164" s="2"/>
      <c r="D164" s="1"/>
      <c r="E164" s="3"/>
      <c r="F164" s="3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1"/>
      <c r="B165" s="1"/>
      <c r="C165" s="2"/>
      <c r="D165" s="1"/>
      <c r="E165" s="3"/>
      <c r="F165" s="3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1"/>
      <c r="B166" s="1"/>
      <c r="C166" s="2"/>
      <c r="D166" s="1"/>
      <c r="E166" s="3"/>
      <c r="F166" s="3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1"/>
      <c r="B167" s="1"/>
      <c r="C167" s="2"/>
      <c r="D167" s="1"/>
      <c r="E167" s="3"/>
      <c r="F167" s="3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1"/>
      <c r="B168" s="1"/>
      <c r="C168" s="2"/>
      <c r="D168" s="1"/>
      <c r="E168" s="3"/>
      <c r="F168" s="3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1"/>
      <c r="B169" s="1"/>
      <c r="C169" s="2"/>
      <c r="D169" s="1"/>
      <c r="E169" s="3"/>
      <c r="F169" s="3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1"/>
      <c r="B170" s="1"/>
      <c r="C170" s="2"/>
      <c r="D170" s="1"/>
      <c r="E170" s="3"/>
      <c r="F170" s="3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1"/>
      <c r="B171" s="1"/>
      <c r="C171" s="2"/>
      <c r="D171" s="1"/>
      <c r="E171" s="3"/>
      <c r="F171" s="3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1"/>
      <c r="B172" s="1"/>
      <c r="C172" s="2"/>
      <c r="D172" s="1"/>
      <c r="E172" s="3"/>
      <c r="F172" s="3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1"/>
      <c r="B173" s="1"/>
      <c r="C173" s="2"/>
      <c r="D173" s="1"/>
      <c r="E173" s="3"/>
      <c r="F173" s="3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1"/>
      <c r="B174" s="1"/>
      <c r="C174" s="2"/>
      <c r="D174" s="1"/>
      <c r="E174" s="3"/>
      <c r="F174" s="3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1"/>
      <c r="B175" s="1"/>
      <c r="C175" s="2"/>
      <c r="D175" s="1"/>
      <c r="E175" s="3"/>
      <c r="F175" s="3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1"/>
      <c r="B176" s="1"/>
      <c r="C176" s="2"/>
      <c r="D176" s="1"/>
      <c r="E176" s="3"/>
      <c r="F176" s="3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1"/>
      <c r="B177" s="1"/>
      <c r="C177" s="2"/>
      <c r="D177" s="1"/>
      <c r="E177" s="3"/>
      <c r="F177" s="3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1"/>
      <c r="B178" s="1"/>
      <c r="C178" s="2"/>
      <c r="D178" s="1"/>
      <c r="E178" s="3"/>
      <c r="F178" s="3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1"/>
      <c r="B179" s="1"/>
      <c r="C179" s="2"/>
      <c r="D179" s="1"/>
      <c r="E179" s="3"/>
      <c r="F179" s="3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1"/>
      <c r="B180" s="1"/>
      <c r="C180" s="2"/>
      <c r="D180" s="1"/>
      <c r="E180" s="3"/>
      <c r="F180" s="3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1"/>
      <c r="B181" s="1"/>
      <c r="C181" s="2"/>
      <c r="D181" s="1"/>
      <c r="E181" s="3"/>
      <c r="F181" s="3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1"/>
      <c r="B182" s="1"/>
      <c r="C182" s="2"/>
      <c r="D182" s="1"/>
      <c r="E182" s="3"/>
      <c r="F182" s="3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1"/>
      <c r="B183" s="1"/>
      <c r="C183" s="2"/>
      <c r="D183" s="1"/>
      <c r="E183" s="3"/>
      <c r="F183" s="3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1"/>
      <c r="B184" s="1"/>
      <c r="C184" s="2"/>
      <c r="D184" s="1"/>
      <c r="E184" s="3"/>
      <c r="F184" s="3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1"/>
      <c r="B185" s="1"/>
      <c r="C185" s="2"/>
      <c r="D185" s="1"/>
      <c r="E185" s="3"/>
      <c r="F185" s="3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1"/>
      <c r="B186" s="1"/>
      <c r="C186" s="2"/>
      <c r="D186" s="1"/>
      <c r="E186" s="3"/>
      <c r="F186" s="3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1"/>
      <c r="B187" s="1"/>
      <c r="C187" s="2"/>
      <c r="D187" s="1"/>
      <c r="E187" s="3"/>
      <c r="F187" s="3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1"/>
      <c r="B188" s="1"/>
      <c r="C188" s="2"/>
      <c r="D188" s="1"/>
      <c r="E188" s="3"/>
      <c r="F188" s="3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1"/>
      <c r="B189" s="1"/>
      <c r="C189" s="2"/>
      <c r="D189" s="1"/>
      <c r="E189" s="3"/>
      <c r="F189" s="3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1"/>
      <c r="B190" s="1"/>
      <c r="C190" s="2"/>
      <c r="D190" s="1"/>
      <c r="E190" s="3"/>
      <c r="F190" s="3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1"/>
      <c r="B191" s="1"/>
      <c r="C191" s="2"/>
      <c r="D191" s="1"/>
      <c r="E191" s="3"/>
      <c r="F191" s="3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1"/>
      <c r="B192" s="1"/>
      <c r="C192" s="2"/>
      <c r="D192" s="1"/>
      <c r="E192" s="3"/>
      <c r="F192" s="3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1"/>
      <c r="B193" s="1"/>
      <c r="C193" s="2"/>
      <c r="D193" s="1"/>
      <c r="E193" s="3"/>
      <c r="F193" s="3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1"/>
      <c r="B194" s="1"/>
      <c r="C194" s="2"/>
      <c r="D194" s="1"/>
      <c r="E194" s="3"/>
      <c r="F194" s="3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1"/>
      <c r="B195" s="1"/>
      <c r="C195" s="2"/>
      <c r="D195" s="1"/>
      <c r="E195" s="3"/>
      <c r="F195" s="3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1"/>
      <c r="B196" s="1"/>
      <c r="C196" s="2"/>
      <c r="D196" s="1"/>
      <c r="E196" s="3"/>
      <c r="F196" s="3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1"/>
      <c r="B197" s="1"/>
      <c r="C197" s="2"/>
      <c r="D197" s="1"/>
      <c r="E197" s="3"/>
      <c r="F197" s="3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1"/>
      <c r="B198" s="1"/>
      <c r="C198" s="2"/>
      <c r="D198" s="1"/>
      <c r="E198" s="3"/>
      <c r="F198" s="3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1"/>
      <c r="B199" s="1"/>
      <c r="C199" s="2"/>
      <c r="D199" s="1"/>
      <c r="E199" s="3"/>
      <c r="F199" s="3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1"/>
      <c r="B200" s="1"/>
      <c r="C200" s="2"/>
      <c r="D200" s="1"/>
      <c r="E200" s="3"/>
      <c r="F200" s="3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1"/>
      <c r="B201" s="1"/>
      <c r="C201" s="2"/>
      <c r="D201" s="1"/>
      <c r="E201" s="3"/>
      <c r="F201" s="3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1"/>
      <c r="B202" s="1"/>
      <c r="C202" s="2"/>
      <c r="D202" s="1"/>
      <c r="E202" s="3"/>
      <c r="F202" s="3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1"/>
      <c r="B203" s="1"/>
      <c r="C203" s="2"/>
      <c r="D203" s="1"/>
      <c r="E203" s="3"/>
      <c r="F203" s="3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1"/>
      <c r="B204" s="1"/>
      <c r="C204" s="2"/>
      <c r="D204" s="1"/>
      <c r="E204" s="3"/>
      <c r="F204" s="3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1"/>
      <c r="B205" s="1"/>
      <c r="C205" s="2"/>
      <c r="D205" s="1"/>
      <c r="E205" s="3"/>
      <c r="F205" s="3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1"/>
      <c r="B206" s="1"/>
      <c r="C206" s="2"/>
      <c r="D206" s="1"/>
      <c r="E206" s="3"/>
      <c r="F206" s="3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1"/>
      <c r="B207" s="1"/>
      <c r="C207" s="2"/>
      <c r="D207" s="1"/>
      <c r="E207" s="3"/>
      <c r="F207" s="3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1"/>
      <c r="B208" s="1"/>
      <c r="C208" s="2"/>
      <c r="D208" s="1"/>
      <c r="E208" s="3"/>
      <c r="F208" s="3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1"/>
      <c r="B209" s="1"/>
      <c r="C209" s="2"/>
      <c r="D209" s="1"/>
      <c r="E209" s="3"/>
      <c r="F209" s="3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1"/>
      <c r="B210" s="1"/>
      <c r="C210" s="2"/>
      <c r="D210" s="1"/>
      <c r="E210" s="3"/>
      <c r="F210" s="3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1"/>
      <c r="B211" s="1"/>
      <c r="C211" s="2"/>
      <c r="D211" s="1"/>
      <c r="E211" s="3"/>
      <c r="F211" s="3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1"/>
      <c r="B212" s="1"/>
      <c r="C212" s="2"/>
      <c r="D212" s="1"/>
      <c r="E212" s="3"/>
      <c r="F212" s="3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1"/>
      <c r="B213" s="1"/>
      <c r="C213" s="2"/>
      <c r="D213" s="1"/>
      <c r="E213" s="3"/>
      <c r="F213" s="3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1"/>
      <c r="B214" s="1"/>
      <c r="C214" s="2"/>
      <c r="D214" s="1"/>
      <c r="E214" s="3"/>
      <c r="F214" s="3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1"/>
      <c r="B215" s="1"/>
      <c r="C215" s="2"/>
      <c r="D215" s="1"/>
      <c r="E215" s="3"/>
      <c r="F215" s="3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1"/>
      <c r="B216" s="1"/>
      <c r="C216" s="2"/>
      <c r="D216" s="1"/>
      <c r="E216" s="3"/>
      <c r="F216" s="3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1"/>
      <c r="B217" s="1"/>
      <c r="C217" s="2"/>
      <c r="D217" s="1"/>
      <c r="E217" s="3"/>
      <c r="F217" s="3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1"/>
      <c r="B218" s="1"/>
      <c r="C218" s="2"/>
      <c r="D218" s="1"/>
      <c r="E218" s="3"/>
      <c r="F218" s="3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1"/>
      <c r="B219" s="1"/>
      <c r="C219" s="2"/>
      <c r="D219" s="1"/>
      <c r="E219" s="3"/>
      <c r="F219" s="3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1"/>
      <c r="B220" s="1"/>
      <c r="C220" s="2"/>
      <c r="D220" s="1"/>
      <c r="E220" s="3"/>
      <c r="F220" s="3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1"/>
      <c r="B221" s="1"/>
      <c r="C221" s="2"/>
      <c r="D221" s="1"/>
      <c r="E221" s="3"/>
      <c r="F221" s="3"/>
      <c r="G221" s="1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1"/>
      <c r="B222" s="1"/>
      <c r="C222" s="2"/>
      <c r="D222" s="1"/>
      <c r="E222" s="3"/>
      <c r="F222" s="3"/>
      <c r="G222" s="1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1"/>
      <c r="B223" s="1"/>
      <c r="C223" s="2"/>
      <c r="D223" s="1"/>
      <c r="E223" s="3"/>
      <c r="F223" s="3"/>
      <c r="G223" s="1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1"/>
      <c r="B224" s="1"/>
      <c r="C224" s="2"/>
      <c r="D224" s="1"/>
      <c r="E224" s="3"/>
      <c r="F224" s="3"/>
      <c r="G224" s="1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1"/>
      <c r="B225" s="1"/>
      <c r="C225" s="2"/>
      <c r="D225" s="1"/>
      <c r="E225" s="3"/>
      <c r="F225" s="3"/>
      <c r="G225" s="1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1"/>
      <c r="B226" s="1"/>
      <c r="C226" s="2"/>
      <c r="D226" s="1"/>
      <c r="E226" s="3"/>
      <c r="F226" s="3"/>
      <c r="G226" s="1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1"/>
      <c r="B227" s="1"/>
      <c r="C227" s="2"/>
      <c r="D227" s="1"/>
      <c r="E227" s="3"/>
      <c r="F227" s="3"/>
      <c r="G227" s="1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1"/>
      <c r="B228" s="1"/>
      <c r="C228" s="2"/>
      <c r="D228" s="1"/>
      <c r="E228" s="3"/>
      <c r="F228" s="3"/>
      <c r="G228" s="1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1"/>
      <c r="B229" s="1"/>
      <c r="C229" s="2"/>
      <c r="D229" s="1"/>
      <c r="E229" s="3"/>
      <c r="F229" s="3"/>
      <c r="G229" s="1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1"/>
      <c r="B230" s="1"/>
      <c r="C230" s="2"/>
      <c r="D230" s="1"/>
      <c r="E230" s="3"/>
      <c r="F230" s="3"/>
      <c r="G230" s="1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1"/>
      <c r="B231" s="1"/>
      <c r="C231" s="2"/>
      <c r="D231" s="1"/>
      <c r="E231" s="3"/>
      <c r="F231" s="3"/>
      <c r="G231" s="1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1"/>
      <c r="B232" s="1"/>
      <c r="C232" s="2"/>
      <c r="D232" s="1"/>
      <c r="E232" s="3"/>
      <c r="F232" s="3"/>
      <c r="G232" s="1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1"/>
      <c r="B233" s="1"/>
      <c r="C233" s="2"/>
      <c r="D233" s="1"/>
      <c r="E233" s="3"/>
      <c r="F233" s="3"/>
      <c r="G233" s="1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1"/>
      <c r="B234" s="1"/>
      <c r="C234" s="2"/>
      <c r="D234" s="1"/>
      <c r="E234" s="3"/>
      <c r="F234" s="3"/>
      <c r="G234" s="1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1"/>
      <c r="B235" s="1"/>
      <c r="C235" s="2"/>
      <c r="D235" s="1"/>
      <c r="E235" s="3"/>
      <c r="F235" s="3"/>
      <c r="G235" s="1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1"/>
      <c r="B236" s="1"/>
      <c r="C236" s="2"/>
      <c r="D236" s="1"/>
      <c r="E236" s="3"/>
      <c r="F236" s="3"/>
      <c r="G236" s="1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1"/>
      <c r="B237" s="1"/>
      <c r="C237" s="2"/>
      <c r="D237" s="1"/>
      <c r="E237" s="3"/>
      <c r="F237" s="3"/>
      <c r="G237" s="1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1"/>
      <c r="B238" s="1"/>
      <c r="C238" s="2"/>
      <c r="D238" s="1"/>
      <c r="E238" s="3"/>
      <c r="F238" s="3"/>
      <c r="G238" s="1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1"/>
      <c r="B239" s="1"/>
      <c r="C239" s="2"/>
      <c r="D239" s="1"/>
      <c r="E239" s="3"/>
      <c r="F239" s="3"/>
      <c r="G239" s="1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1"/>
      <c r="B240" s="1"/>
      <c r="C240" s="2"/>
      <c r="D240" s="1"/>
      <c r="E240" s="3"/>
      <c r="F240" s="3"/>
      <c r="G240" s="1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1"/>
      <c r="B241" s="1"/>
      <c r="C241" s="2"/>
      <c r="D241" s="1"/>
      <c r="E241" s="3"/>
      <c r="F241" s="3"/>
      <c r="G241" s="1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1"/>
      <c r="B242" s="1"/>
      <c r="C242" s="2"/>
      <c r="D242" s="1"/>
      <c r="E242" s="3"/>
      <c r="F242" s="3"/>
      <c r="G242" s="1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1"/>
      <c r="B243" s="1"/>
      <c r="C243" s="2"/>
      <c r="D243" s="1"/>
      <c r="E243" s="3"/>
      <c r="F243" s="3"/>
      <c r="G243" s="1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1"/>
      <c r="B244" s="1"/>
      <c r="C244" s="2"/>
      <c r="D244" s="1"/>
      <c r="E244" s="3"/>
      <c r="F244" s="3"/>
      <c r="G244" s="1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1"/>
      <c r="B245" s="1"/>
      <c r="C245" s="2"/>
      <c r="D245" s="1"/>
      <c r="E245" s="3"/>
      <c r="F245" s="3"/>
      <c r="G245" s="1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1"/>
      <c r="B246" s="1"/>
      <c r="C246" s="2"/>
      <c r="D246" s="1"/>
      <c r="E246" s="3"/>
      <c r="F246" s="3"/>
      <c r="G246" s="1"/>
      <c r="H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1"/>
      <c r="B247" s="1"/>
      <c r="C247" s="2"/>
      <c r="D247" s="1"/>
      <c r="E247" s="3"/>
      <c r="F247" s="3"/>
      <c r="G247" s="1"/>
      <c r="H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1"/>
      <c r="B248" s="1"/>
      <c r="C248" s="2"/>
      <c r="D248" s="1"/>
      <c r="E248" s="3"/>
      <c r="F248" s="3"/>
      <c r="G248" s="1"/>
      <c r="H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1"/>
      <c r="B249" s="1"/>
      <c r="C249" s="2"/>
      <c r="D249" s="1"/>
      <c r="E249" s="3"/>
      <c r="F249" s="3"/>
      <c r="G249" s="1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1"/>
      <c r="B250" s="1"/>
      <c r="C250" s="2"/>
      <c r="D250" s="1"/>
      <c r="E250" s="3"/>
      <c r="F250" s="3"/>
      <c r="G250" s="1"/>
      <c r="H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1"/>
      <c r="B251" s="1"/>
      <c r="C251" s="2"/>
      <c r="D251" s="1"/>
      <c r="E251" s="3"/>
      <c r="F251" s="3"/>
      <c r="G251" s="1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1"/>
      <c r="B252" s="1"/>
      <c r="C252" s="2"/>
      <c r="D252" s="1"/>
      <c r="E252" s="3"/>
      <c r="F252" s="3"/>
      <c r="G252" s="1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1"/>
      <c r="B253" s="1"/>
      <c r="C253" s="2"/>
      <c r="D253" s="1"/>
      <c r="E253" s="3"/>
      <c r="F253" s="3"/>
      <c r="G253" s="1"/>
      <c r="H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1"/>
      <c r="B254" s="1"/>
      <c r="C254" s="2"/>
      <c r="D254" s="1"/>
      <c r="E254" s="3"/>
      <c r="F254" s="3"/>
      <c r="G254" s="1"/>
      <c r="H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1"/>
      <c r="B255" s="1"/>
      <c r="C255" s="2"/>
      <c r="D255" s="1"/>
      <c r="E255" s="3"/>
      <c r="F255" s="3"/>
      <c r="G255" s="1"/>
      <c r="H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1"/>
      <c r="B256" s="1"/>
      <c r="C256" s="2"/>
      <c r="D256" s="1"/>
      <c r="E256" s="3"/>
      <c r="F256" s="3"/>
      <c r="G256" s="1"/>
      <c r="H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1"/>
      <c r="B257" s="1"/>
      <c r="C257" s="2"/>
      <c r="D257" s="1"/>
      <c r="E257" s="3"/>
      <c r="F257" s="3"/>
      <c r="G257" s="1"/>
      <c r="H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1"/>
      <c r="B258" s="1"/>
      <c r="C258" s="2"/>
      <c r="D258" s="1"/>
      <c r="E258" s="3"/>
      <c r="F258" s="3"/>
      <c r="G258" s="1"/>
      <c r="H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1"/>
      <c r="B259" s="1"/>
      <c r="C259" s="2"/>
      <c r="D259" s="1"/>
      <c r="E259" s="3"/>
      <c r="F259" s="3"/>
      <c r="G259" s="1"/>
      <c r="H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1"/>
      <c r="B260" s="1"/>
      <c r="C260" s="2"/>
      <c r="D260" s="1"/>
      <c r="E260" s="3"/>
      <c r="F260" s="3"/>
      <c r="G260" s="1"/>
      <c r="H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1"/>
      <c r="B261" s="1"/>
      <c r="C261" s="2"/>
      <c r="D261" s="1"/>
      <c r="E261" s="3"/>
      <c r="F261" s="3"/>
      <c r="G261" s="1"/>
      <c r="H261" s="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1"/>
      <c r="B262" s="1"/>
      <c r="C262" s="2"/>
      <c r="D262" s="1"/>
      <c r="E262" s="3"/>
      <c r="F262" s="3"/>
      <c r="G262" s="1"/>
      <c r="H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1"/>
      <c r="B263" s="1"/>
      <c r="C263" s="2"/>
      <c r="D263" s="1"/>
      <c r="E263" s="3"/>
      <c r="F263" s="3"/>
      <c r="G263" s="1"/>
      <c r="H263" s="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1"/>
      <c r="B264" s="1"/>
      <c r="C264" s="2"/>
      <c r="D264" s="1"/>
      <c r="E264" s="3"/>
      <c r="F264" s="3"/>
      <c r="G264" s="1"/>
      <c r="H264" s="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1"/>
      <c r="B265" s="1"/>
      <c r="C265" s="2"/>
      <c r="D265" s="1"/>
      <c r="E265" s="3"/>
      <c r="F265" s="3"/>
      <c r="G265" s="1"/>
      <c r="H265" s="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1"/>
      <c r="B266" s="1"/>
      <c r="C266" s="2"/>
      <c r="D266" s="1"/>
      <c r="E266" s="3"/>
      <c r="F266" s="3"/>
      <c r="G266" s="1"/>
      <c r="H266" s="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1"/>
      <c r="B267" s="1"/>
      <c r="C267" s="2"/>
      <c r="D267" s="1"/>
      <c r="E267" s="3"/>
      <c r="F267" s="3"/>
      <c r="G267" s="1"/>
      <c r="H267" s="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1"/>
      <c r="B268" s="1"/>
      <c r="C268" s="2"/>
      <c r="D268" s="1"/>
      <c r="E268" s="3"/>
      <c r="F268" s="3"/>
      <c r="G268" s="1"/>
      <c r="H268" s="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1"/>
      <c r="B269" s="1"/>
      <c r="C269" s="2"/>
      <c r="D269" s="1"/>
      <c r="E269" s="3"/>
      <c r="F269" s="3"/>
      <c r="G269" s="1"/>
      <c r="H269" s="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1"/>
      <c r="B270" s="1"/>
      <c r="C270" s="2"/>
      <c r="D270" s="1"/>
      <c r="E270" s="3"/>
      <c r="F270" s="3"/>
      <c r="G270" s="1"/>
      <c r="H270" s="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1"/>
      <c r="B271" s="1"/>
      <c r="C271" s="2"/>
      <c r="D271" s="1"/>
      <c r="E271" s="3"/>
      <c r="F271" s="3"/>
      <c r="G271" s="1"/>
      <c r="H271" s="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1"/>
      <c r="B272" s="1"/>
      <c r="C272" s="2"/>
      <c r="D272" s="1"/>
      <c r="E272" s="3"/>
      <c r="F272" s="3"/>
      <c r="G272" s="1"/>
      <c r="H272" s="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1"/>
      <c r="B273" s="1"/>
      <c r="C273" s="2"/>
      <c r="D273" s="1"/>
      <c r="E273" s="3"/>
      <c r="F273" s="3"/>
      <c r="G273" s="1"/>
      <c r="H273" s="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1"/>
      <c r="B274" s="1"/>
      <c r="C274" s="2"/>
      <c r="D274" s="1"/>
      <c r="E274" s="3"/>
      <c r="F274" s="3"/>
      <c r="G274" s="1"/>
      <c r="H274" s="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1"/>
      <c r="B275" s="1"/>
      <c r="C275" s="2"/>
      <c r="D275" s="1"/>
      <c r="E275" s="3"/>
      <c r="F275" s="3"/>
      <c r="G275" s="1"/>
      <c r="H275" s="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1"/>
      <c r="B276" s="1"/>
      <c r="C276" s="2"/>
      <c r="D276" s="1"/>
      <c r="E276" s="3"/>
      <c r="F276" s="3"/>
      <c r="G276" s="1"/>
      <c r="H276" s="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1"/>
      <c r="B277" s="1"/>
      <c r="C277" s="2"/>
      <c r="D277" s="1"/>
      <c r="E277" s="3"/>
      <c r="F277" s="3"/>
      <c r="G277" s="1"/>
      <c r="H277" s="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1"/>
      <c r="B278" s="1"/>
      <c r="C278" s="2"/>
      <c r="D278" s="1"/>
      <c r="E278" s="3"/>
      <c r="F278" s="3"/>
      <c r="G278" s="1"/>
      <c r="H278" s="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1"/>
      <c r="B279" s="1"/>
      <c r="C279" s="2"/>
      <c r="D279" s="1"/>
      <c r="E279" s="3"/>
      <c r="F279" s="3"/>
      <c r="G279" s="1"/>
      <c r="H279" s="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1"/>
      <c r="B280" s="1"/>
      <c r="C280" s="2"/>
      <c r="D280" s="1"/>
      <c r="E280" s="3"/>
      <c r="F280" s="3"/>
      <c r="G280" s="1"/>
      <c r="H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1"/>
      <c r="B281" s="1"/>
      <c r="C281" s="2"/>
      <c r="D281" s="1"/>
      <c r="E281" s="3"/>
      <c r="F281" s="3"/>
      <c r="G281" s="1"/>
      <c r="H281" s="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1"/>
      <c r="B282" s="1"/>
      <c r="C282" s="2"/>
      <c r="D282" s="1"/>
      <c r="E282" s="3"/>
      <c r="F282" s="3"/>
      <c r="G282" s="1"/>
      <c r="H282" s="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1"/>
      <c r="B283" s="1"/>
      <c r="C283" s="2"/>
      <c r="D283" s="1"/>
      <c r="E283" s="3"/>
      <c r="F283" s="3"/>
      <c r="G283" s="1"/>
      <c r="H283" s="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1"/>
      <c r="B284" s="1"/>
      <c r="C284" s="2"/>
      <c r="D284" s="1"/>
      <c r="E284" s="3"/>
      <c r="F284" s="3"/>
      <c r="G284" s="1"/>
      <c r="H284" s="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1"/>
      <c r="B285" s="1"/>
      <c r="C285" s="2"/>
      <c r="D285" s="1"/>
      <c r="E285" s="3"/>
      <c r="F285" s="3"/>
      <c r="G285" s="1"/>
      <c r="H285" s="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1"/>
      <c r="B286" s="1"/>
      <c r="C286" s="2"/>
      <c r="D286" s="1"/>
      <c r="E286" s="3"/>
      <c r="F286" s="3"/>
      <c r="G286" s="1"/>
      <c r="H286" s="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1"/>
      <c r="B287" s="1"/>
      <c r="C287" s="2"/>
      <c r="D287" s="1"/>
      <c r="E287" s="3"/>
      <c r="F287" s="3"/>
      <c r="G287" s="1"/>
      <c r="H287" s="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1"/>
      <c r="B288" s="1"/>
      <c r="C288" s="2"/>
      <c r="D288" s="1"/>
      <c r="E288" s="3"/>
      <c r="F288" s="3"/>
      <c r="G288" s="1"/>
      <c r="H288" s="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1"/>
      <c r="B289" s="1"/>
      <c r="C289" s="2"/>
      <c r="D289" s="1"/>
      <c r="E289" s="3"/>
      <c r="F289" s="3"/>
      <c r="G289" s="1"/>
      <c r="H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1"/>
      <c r="B290" s="1"/>
      <c r="C290" s="2"/>
      <c r="D290" s="1"/>
      <c r="E290" s="3"/>
      <c r="F290" s="3"/>
      <c r="G290" s="1"/>
      <c r="H290" s="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1"/>
      <c r="B291" s="1"/>
      <c r="C291" s="2"/>
      <c r="D291" s="1"/>
      <c r="E291" s="3"/>
      <c r="F291" s="3"/>
      <c r="G291" s="1"/>
      <c r="H291" s="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1"/>
      <c r="B292" s="1"/>
      <c r="C292" s="2"/>
      <c r="D292" s="1"/>
      <c r="E292" s="3"/>
      <c r="F292" s="3"/>
      <c r="G292" s="1"/>
      <c r="H292" s="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1"/>
      <c r="B293" s="1"/>
      <c r="C293" s="2"/>
      <c r="D293" s="1"/>
      <c r="E293" s="3"/>
      <c r="F293" s="3"/>
      <c r="G293" s="1"/>
      <c r="H293" s="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1"/>
      <c r="B294" s="1"/>
      <c r="C294" s="2"/>
      <c r="D294" s="1"/>
      <c r="E294" s="3"/>
      <c r="F294" s="3"/>
      <c r="G294" s="1"/>
      <c r="H294" s="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1"/>
      <c r="B295" s="1"/>
      <c r="C295" s="2"/>
      <c r="D295" s="1"/>
      <c r="E295" s="3"/>
      <c r="F295" s="3"/>
      <c r="G295" s="1"/>
      <c r="H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1"/>
      <c r="B296" s="1"/>
      <c r="C296" s="2"/>
      <c r="D296" s="1"/>
      <c r="E296" s="3"/>
      <c r="F296" s="3"/>
      <c r="G296" s="1"/>
      <c r="H296" s="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1"/>
      <c r="B297" s="1"/>
      <c r="C297" s="2"/>
      <c r="D297" s="1"/>
      <c r="E297" s="3"/>
      <c r="F297" s="3"/>
      <c r="G297" s="1"/>
      <c r="H297" s="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1"/>
      <c r="B298" s="1"/>
      <c r="C298" s="2"/>
      <c r="D298" s="1"/>
      <c r="E298" s="3"/>
      <c r="F298" s="3"/>
      <c r="G298" s="1"/>
      <c r="H298" s="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1"/>
      <c r="B299" s="1"/>
      <c r="C299" s="2"/>
      <c r="D299" s="1"/>
      <c r="E299" s="3"/>
      <c r="F299" s="3"/>
      <c r="G299" s="1"/>
      <c r="H299" s="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1"/>
      <c r="B300" s="1"/>
      <c r="C300" s="2"/>
      <c r="D300" s="1"/>
      <c r="E300" s="3"/>
      <c r="F300" s="3"/>
      <c r="G300" s="1"/>
      <c r="H300" s="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1"/>
      <c r="B301" s="1"/>
      <c r="C301" s="2"/>
      <c r="D301" s="1"/>
      <c r="E301" s="3"/>
      <c r="F301" s="3"/>
      <c r="G301" s="1"/>
      <c r="H301" s="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1"/>
      <c r="B302" s="1"/>
      <c r="C302" s="2"/>
      <c r="D302" s="1"/>
      <c r="E302" s="3"/>
      <c r="F302" s="3"/>
      <c r="G302" s="1"/>
      <c r="H302" s="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1"/>
      <c r="B303" s="1"/>
      <c r="C303" s="2"/>
      <c r="D303" s="1"/>
      <c r="E303" s="3"/>
      <c r="F303" s="3"/>
      <c r="G303" s="1"/>
      <c r="H303" s="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1"/>
      <c r="B304" s="1"/>
      <c r="C304" s="2"/>
      <c r="D304" s="1"/>
      <c r="E304" s="3"/>
      <c r="F304" s="3"/>
      <c r="G304" s="1"/>
      <c r="H304" s="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1"/>
      <c r="B305" s="1"/>
      <c r="C305" s="2"/>
      <c r="D305" s="1"/>
      <c r="E305" s="3"/>
      <c r="F305" s="3"/>
      <c r="G305" s="1"/>
      <c r="H305" s="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1"/>
      <c r="B306" s="1"/>
      <c r="C306" s="2"/>
      <c r="D306" s="1"/>
      <c r="E306" s="3"/>
      <c r="F306" s="3"/>
      <c r="G306" s="1"/>
      <c r="H306" s="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1"/>
      <c r="B307" s="1"/>
      <c r="C307" s="2"/>
      <c r="D307" s="1"/>
      <c r="E307" s="3"/>
      <c r="F307" s="3"/>
      <c r="G307" s="1"/>
      <c r="H307" s="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1"/>
      <c r="B308" s="1"/>
      <c r="C308" s="2"/>
      <c r="D308" s="1"/>
      <c r="E308" s="3"/>
      <c r="F308" s="3"/>
      <c r="G308" s="1"/>
      <c r="H308" s="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1"/>
      <c r="B309" s="1"/>
      <c r="C309" s="2"/>
      <c r="D309" s="1"/>
      <c r="E309" s="3"/>
      <c r="F309" s="3"/>
      <c r="G309" s="1"/>
      <c r="H309" s="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1"/>
      <c r="B310" s="1"/>
      <c r="C310" s="2"/>
      <c r="D310" s="1"/>
      <c r="E310" s="3"/>
      <c r="F310" s="3"/>
      <c r="G310" s="1"/>
      <c r="H310" s="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1"/>
      <c r="B311" s="1"/>
      <c r="C311" s="2"/>
      <c r="D311" s="1"/>
      <c r="E311" s="3"/>
      <c r="F311" s="3"/>
      <c r="G311" s="1"/>
      <c r="H311" s="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1"/>
      <c r="B312" s="1"/>
      <c r="C312" s="2"/>
      <c r="D312" s="1"/>
      <c r="E312" s="3"/>
      <c r="F312" s="3"/>
      <c r="G312" s="1"/>
      <c r="H312" s="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1"/>
      <c r="B313" s="1"/>
      <c r="C313" s="2"/>
      <c r="D313" s="1"/>
      <c r="E313" s="3"/>
      <c r="F313" s="3"/>
      <c r="G313" s="1"/>
      <c r="H313" s="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1"/>
      <c r="B314" s="1"/>
      <c r="C314" s="2"/>
      <c r="D314" s="1"/>
      <c r="E314" s="3"/>
      <c r="F314" s="3"/>
      <c r="G314" s="1"/>
      <c r="H314" s="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1"/>
      <c r="B315" s="1"/>
      <c r="C315" s="2"/>
      <c r="D315" s="1"/>
      <c r="E315" s="3"/>
      <c r="F315" s="3"/>
      <c r="G315" s="1"/>
      <c r="H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1"/>
      <c r="B316" s="1"/>
      <c r="C316" s="2"/>
      <c r="D316" s="1"/>
      <c r="E316" s="3"/>
      <c r="F316" s="3"/>
      <c r="G316" s="1"/>
      <c r="H316" s="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1"/>
      <c r="B317" s="1"/>
      <c r="C317" s="2"/>
      <c r="D317" s="1"/>
      <c r="E317" s="3"/>
      <c r="F317" s="3"/>
      <c r="G317" s="1"/>
      <c r="H317" s="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1"/>
      <c r="B318" s="1"/>
      <c r="C318" s="2"/>
      <c r="D318" s="1"/>
      <c r="E318" s="3"/>
      <c r="F318" s="3"/>
      <c r="G318" s="1"/>
      <c r="H318" s="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1"/>
      <c r="B319" s="1"/>
      <c r="C319" s="2"/>
      <c r="D319" s="1"/>
      <c r="E319" s="3"/>
      <c r="F319" s="3"/>
      <c r="G319" s="1"/>
      <c r="H319" s="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1"/>
      <c r="B320" s="1"/>
      <c r="C320" s="2"/>
      <c r="D320" s="1"/>
      <c r="E320" s="3"/>
      <c r="F320" s="3"/>
      <c r="G320" s="1"/>
      <c r="H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1"/>
      <c r="B321" s="1"/>
      <c r="C321" s="2"/>
      <c r="D321" s="1"/>
      <c r="E321" s="3"/>
      <c r="F321" s="3"/>
      <c r="G321" s="1"/>
      <c r="H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1"/>
      <c r="B322" s="1"/>
      <c r="C322" s="2"/>
      <c r="D322" s="1"/>
      <c r="E322" s="3"/>
      <c r="F322" s="3"/>
      <c r="G322" s="1"/>
      <c r="H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1"/>
      <c r="B323" s="1"/>
      <c r="C323" s="2"/>
      <c r="D323" s="1"/>
      <c r="E323" s="3"/>
      <c r="F323" s="3"/>
      <c r="G323" s="1"/>
      <c r="H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1"/>
      <c r="B324" s="1"/>
      <c r="C324" s="2"/>
      <c r="D324" s="1"/>
      <c r="E324" s="3"/>
      <c r="F324" s="3"/>
      <c r="G324" s="1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1"/>
      <c r="B325" s="1"/>
      <c r="C325" s="2"/>
      <c r="D325" s="1"/>
      <c r="E325" s="3"/>
      <c r="F325" s="3"/>
      <c r="G325" s="1"/>
      <c r="H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1"/>
      <c r="B326" s="1"/>
      <c r="C326" s="2"/>
      <c r="D326" s="1"/>
      <c r="E326" s="3"/>
      <c r="F326" s="3"/>
      <c r="G326" s="1"/>
      <c r="H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1"/>
      <c r="B327" s="1"/>
      <c r="C327" s="2"/>
      <c r="D327" s="1"/>
      <c r="E327" s="3"/>
      <c r="F327" s="3"/>
      <c r="G327" s="1"/>
      <c r="H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1"/>
      <c r="B328" s="1"/>
      <c r="C328" s="2"/>
      <c r="D328" s="1"/>
      <c r="E328" s="3"/>
      <c r="F328" s="3"/>
      <c r="G328" s="1"/>
      <c r="H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1"/>
      <c r="B329" s="1"/>
      <c r="C329" s="2"/>
      <c r="D329" s="1"/>
      <c r="E329" s="3"/>
      <c r="F329" s="3"/>
      <c r="G329" s="1"/>
      <c r="H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1"/>
      <c r="B330" s="1"/>
      <c r="C330" s="2"/>
      <c r="D330" s="1"/>
      <c r="E330" s="3"/>
      <c r="F330" s="3"/>
      <c r="G330" s="1"/>
      <c r="H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1"/>
      <c r="B331" s="1"/>
      <c r="C331" s="2"/>
      <c r="D331" s="1"/>
      <c r="E331" s="3"/>
      <c r="F331" s="3"/>
      <c r="G331" s="1"/>
      <c r="H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1"/>
      <c r="B332" s="1"/>
      <c r="C332" s="2"/>
      <c r="D332" s="1"/>
      <c r="E332" s="3"/>
      <c r="F332" s="3"/>
      <c r="G332" s="1"/>
      <c r="H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1"/>
      <c r="B333" s="1"/>
      <c r="C333" s="2"/>
      <c r="D333" s="1"/>
      <c r="E333" s="3"/>
      <c r="F333" s="3"/>
      <c r="G333" s="1"/>
      <c r="H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1"/>
      <c r="B334" s="1"/>
      <c r="C334" s="2"/>
      <c r="D334" s="1"/>
      <c r="E334" s="3"/>
      <c r="F334" s="3"/>
      <c r="G334" s="1"/>
      <c r="H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1"/>
      <c r="B335" s="1"/>
      <c r="C335" s="2"/>
      <c r="D335" s="1"/>
      <c r="E335" s="3"/>
      <c r="F335" s="3"/>
      <c r="G335" s="1"/>
      <c r="H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1"/>
      <c r="B336" s="1"/>
      <c r="C336" s="2"/>
      <c r="D336" s="1"/>
      <c r="E336" s="3"/>
      <c r="F336" s="3"/>
      <c r="G336" s="1"/>
      <c r="H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1"/>
      <c r="B337" s="1"/>
      <c r="C337" s="2"/>
      <c r="D337" s="1"/>
      <c r="E337" s="3"/>
      <c r="F337" s="3"/>
      <c r="G337" s="1"/>
      <c r="H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1"/>
      <c r="B338" s="1"/>
      <c r="C338" s="2"/>
      <c r="D338" s="1"/>
      <c r="E338" s="3"/>
      <c r="F338" s="3"/>
      <c r="G338" s="1"/>
      <c r="H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1"/>
      <c r="B339" s="1"/>
      <c r="C339" s="2"/>
      <c r="D339" s="1"/>
      <c r="E339" s="3"/>
      <c r="F339" s="3"/>
      <c r="G339" s="1"/>
      <c r="H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1"/>
      <c r="B340" s="1"/>
      <c r="C340" s="2"/>
      <c r="D340" s="1"/>
      <c r="E340" s="3"/>
      <c r="F340" s="3"/>
      <c r="G340" s="1"/>
      <c r="H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1"/>
      <c r="B341" s="1"/>
      <c r="C341" s="2"/>
      <c r="D341" s="1"/>
      <c r="E341" s="3"/>
      <c r="F341" s="3"/>
      <c r="G341" s="1"/>
      <c r="H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1"/>
      <c r="B342" s="1"/>
      <c r="C342" s="2"/>
      <c r="D342" s="1"/>
      <c r="E342" s="3"/>
      <c r="F342" s="3"/>
      <c r="G342" s="1"/>
      <c r="H342" s="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1"/>
      <c r="B343" s="1"/>
      <c r="C343" s="2"/>
      <c r="D343" s="1"/>
      <c r="E343" s="3"/>
      <c r="F343" s="3"/>
      <c r="G343" s="1"/>
      <c r="H343" s="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1"/>
      <c r="B344" s="1"/>
      <c r="C344" s="2"/>
      <c r="D344" s="1"/>
      <c r="E344" s="3"/>
      <c r="F344" s="3"/>
      <c r="G344" s="1"/>
      <c r="H344" s="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1"/>
      <c r="B345" s="1"/>
      <c r="C345" s="2"/>
      <c r="D345" s="1"/>
      <c r="E345" s="3"/>
      <c r="F345" s="3"/>
      <c r="G345" s="1"/>
      <c r="H345" s="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1"/>
      <c r="B346" s="1"/>
      <c r="C346" s="2"/>
      <c r="D346" s="1"/>
      <c r="E346" s="3"/>
      <c r="F346" s="3"/>
      <c r="G346" s="1"/>
      <c r="H346" s="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1"/>
      <c r="B347" s="1"/>
      <c r="C347" s="2"/>
      <c r="D347" s="1"/>
      <c r="E347" s="3"/>
      <c r="F347" s="3"/>
      <c r="G347" s="1"/>
      <c r="H347" s="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1"/>
      <c r="B348" s="1"/>
      <c r="C348" s="2"/>
      <c r="D348" s="1"/>
      <c r="E348" s="3"/>
      <c r="F348" s="3"/>
      <c r="G348" s="1"/>
      <c r="H348" s="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1"/>
      <c r="B349" s="1"/>
      <c r="C349" s="2"/>
      <c r="D349" s="1"/>
      <c r="E349" s="3"/>
      <c r="F349" s="3"/>
      <c r="G349" s="1"/>
      <c r="H349" s="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1"/>
      <c r="B350" s="1"/>
      <c r="C350" s="2"/>
      <c r="D350" s="1"/>
      <c r="E350" s="3"/>
      <c r="F350" s="3"/>
      <c r="G350" s="1"/>
      <c r="H350" s="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1"/>
      <c r="B351" s="1"/>
      <c r="C351" s="2"/>
      <c r="D351" s="1"/>
      <c r="E351" s="3"/>
      <c r="F351" s="3"/>
      <c r="G351" s="1"/>
      <c r="H351" s="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1"/>
      <c r="B352" s="1"/>
      <c r="C352" s="2"/>
      <c r="D352" s="1"/>
      <c r="E352" s="3"/>
      <c r="F352" s="3"/>
      <c r="G352" s="1"/>
      <c r="H352" s="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1"/>
      <c r="B353" s="1"/>
      <c r="C353" s="2"/>
      <c r="D353" s="1"/>
      <c r="E353" s="3"/>
      <c r="F353" s="3"/>
      <c r="G353" s="1"/>
      <c r="H353" s="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1"/>
      <c r="B354" s="1"/>
      <c r="C354" s="2"/>
      <c r="D354" s="1"/>
      <c r="E354" s="3"/>
      <c r="F354" s="3"/>
      <c r="G354" s="1"/>
      <c r="H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1"/>
      <c r="B355" s="1"/>
      <c r="C355" s="2"/>
      <c r="D355" s="1"/>
      <c r="E355" s="3"/>
      <c r="F355" s="3"/>
      <c r="G355" s="1"/>
      <c r="H355" s="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1"/>
      <c r="B356" s="1"/>
      <c r="C356" s="2"/>
      <c r="D356" s="1"/>
      <c r="E356" s="3"/>
      <c r="F356" s="3"/>
      <c r="G356" s="1"/>
      <c r="H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1"/>
      <c r="B357" s="1"/>
      <c r="C357" s="2"/>
      <c r="D357" s="1"/>
      <c r="E357" s="3"/>
      <c r="F357" s="3"/>
      <c r="G357" s="1"/>
      <c r="H357" s="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1"/>
      <c r="B358" s="1"/>
      <c r="C358" s="2"/>
      <c r="D358" s="1"/>
      <c r="E358" s="3"/>
      <c r="F358" s="3"/>
      <c r="G358" s="1"/>
      <c r="H358" s="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1"/>
      <c r="B359" s="1"/>
      <c r="C359" s="2"/>
      <c r="D359" s="1"/>
      <c r="E359" s="3"/>
      <c r="F359" s="3"/>
      <c r="G359" s="1"/>
      <c r="H359" s="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1"/>
      <c r="B360" s="1"/>
      <c r="C360" s="2"/>
      <c r="D360" s="1"/>
      <c r="E360" s="3"/>
      <c r="F360" s="3"/>
      <c r="G360" s="1"/>
      <c r="H360" s="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1"/>
      <c r="B361" s="1"/>
      <c r="C361" s="2"/>
      <c r="D361" s="1"/>
      <c r="E361" s="3"/>
      <c r="F361" s="3"/>
      <c r="G361" s="1"/>
      <c r="H361" s="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1"/>
      <c r="B362" s="1"/>
      <c r="C362" s="2"/>
      <c r="D362" s="1"/>
      <c r="E362" s="3"/>
      <c r="F362" s="3"/>
      <c r="G362" s="1"/>
      <c r="H362" s="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1"/>
      <c r="B363" s="1"/>
      <c r="C363" s="2"/>
      <c r="D363" s="1"/>
      <c r="E363" s="3"/>
      <c r="F363" s="3"/>
      <c r="G363" s="1"/>
      <c r="H363" s="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1"/>
      <c r="B364" s="1"/>
      <c r="C364" s="2"/>
      <c r="D364" s="1"/>
      <c r="E364" s="3"/>
      <c r="F364" s="3"/>
      <c r="G364" s="1"/>
      <c r="H364" s="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1"/>
      <c r="B365" s="1"/>
      <c r="C365" s="2"/>
      <c r="D365" s="1"/>
      <c r="E365" s="3"/>
      <c r="F365" s="3"/>
      <c r="G365" s="1"/>
      <c r="H365" s="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1"/>
      <c r="B366" s="1"/>
      <c r="C366" s="2"/>
      <c r="D366" s="1"/>
      <c r="E366" s="3"/>
      <c r="F366" s="3"/>
      <c r="G366" s="1"/>
      <c r="H366" s="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1"/>
      <c r="B367" s="1"/>
      <c r="C367" s="2"/>
      <c r="D367" s="1"/>
      <c r="E367" s="3"/>
      <c r="F367" s="3"/>
      <c r="G367" s="1"/>
      <c r="H367" s="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1"/>
      <c r="B368" s="1"/>
      <c r="C368" s="2"/>
      <c r="D368" s="1"/>
      <c r="E368" s="3"/>
      <c r="F368" s="3"/>
      <c r="G368" s="1"/>
      <c r="H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1"/>
      <c r="B369" s="1"/>
      <c r="C369" s="2"/>
      <c r="D369" s="1"/>
      <c r="E369" s="3"/>
      <c r="F369" s="3"/>
      <c r="G369" s="1"/>
      <c r="H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1"/>
      <c r="B370" s="1"/>
      <c r="C370" s="2"/>
      <c r="D370" s="1"/>
      <c r="E370" s="3"/>
      <c r="F370" s="3"/>
      <c r="G370" s="1"/>
      <c r="H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1"/>
      <c r="B371" s="1"/>
      <c r="C371" s="2"/>
      <c r="D371" s="1"/>
      <c r="E371" s="3"/>
      <c r="F371" s="3"/>
      <c r="G371" s="1"/>
      <c r="H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1"/>
      <c r="B372" s="1"/>
      <c r="C372" s="2"/>
      <c r="D372" s="1"/>
      <c r="E372" s="3"/>
      <c r="F372" s="3"/>
      <c r="G372" s="1"/>
      <c r="H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1"/>
      <c r="B373" s="1"/>
      <c r="C373" s="2"/>
      <c r="D373" s="1"/>
      <c r="E373" s="3"/>
      <c r="F373" s="3"/>
      <c r="G373" s="1"/>
      <c r="H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1"/>
      <c r="B374" s="1"/>
      <c r="C374" s="2"/>
      <c r="D374" s="1"/>
      <c r="E374" s="3"/>
      <c r="F374" s="3"/>
      <c r="G374" s="1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1"/>
      <c r="B375" s="1"/>
      <c r="C375" s="2"/>
      <c r="D375" s="1"/>
      <c r="E375" s="3"/>
      <c r="F375" s="3"/>
      <c r="G375" s="1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1"/>
      <c r="B376" s="1"/>
      <c r="C376" s="2"/>
      <c r="D376" s="1"/>
      <c r="E376" s="3"/>
      <c r="F376" s="3"/>
      <c r="G376" s="1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1"/>
      <c r="B377" s="1"/>
      <c r="C377" s="2"/>
      <c r="D377" s="1"/>
      <c r="E377" s="3"/>
      <c r="F377" s="3"/>
      <c r="G377" s="1"/>
      <c r="H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1"/>
      <c r="B378" s="1"/>
      <c r="C378" s="2"/>
      <c r="D378" s="1"/>
      <c r="E378" s="3"/>
      <c r="F378" s="3"/>
      <c r="G378" s="1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1"/>
      <c r="B379" s="1"/>
      <c r="C379" s="2"/>
      <c r="D379" s="1"/>
      <c r="E379" s="3"/>
      <c r="F379" s="3"/>
      <c r="G379" s="1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1"/>
      <c r="B380" s="1"/>
      <c r="C380" s="2"/>
      <c r="D380" s="1"/>
      <c r="E380" s="3"/>
      <c r="F380" s="3"/>
      <c r="G380" s="1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1"/>
      <c r="B381" s="1"/>
      <c r="C381" s="2"/>
      <c r="D381" s="1"/>
      <c r="E381" s="3"/>
      <c r="F381" s="3"/>
      <c r="G381" s="1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1"/>
      <c r="B382" s="1"/>
      <c r="C382" s="2"/>
      <c r="D382" s="1"/>
      <c r="E382" s="3"/>
      <c r="F382" s="3"/>
      <c r="G382" s="1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1"/>
      <c r="B383" s="1"/>
      <c r="C383" s="2"/>
      <c r="D383" s="1"/>
      <c r="E383" s="3"/>
      <c r="F383" s="3"/>
      <c r="G383" s="1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1"/>
      <c r="B384" s="1"/>
      <c r="C384" s="2"/>
      <c r="D384" s="1"/>
      <c r="E384" s="3"/>
      <c r="F384" s="3"/>
      <c r="G384" s="1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1"/>
      <c r="B385" s="1"/>
      <c r="C385" s="2"/>
      <c r="D385" s="1"/>
      <c r="E385" s="3"/>
      <c r="F385" s="3"/>
      <c r="G385" s="1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1"/>
      <c r="B386" s="1"/>
      <c r="C386" s="2"/>
      <c r="D386" s="1"/>
      <c r="E386" s="3"/>
      <c r="F386" s="3"/>
      <c r="G386" s="1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1"/>
      <c r="B387" s="1"/>
      <c r="C387" s="2"/>
      <c r="D387" s="1"/>
      <c r="E387" s="3"/>
      <c r="F387" s="3"/>
      <c r="G387" s="1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1"/>
      <c r="B388" s="1"/>
      <c r="C388" s="2"/>
      <c r="D388" s="1"/>
      <c r="E388" s="3"/>
      <c r="F388" s="3"/>
      <c r="G388" s="1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1"/>
      <c r="B389" s="1"/>
      <c r="C389" s="2"/>
      <c r="D389" s="1"/>
      <c r="E389" s="3"/>
      <c r="F389" s="3"/>
      <c r="G389" s="1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1"/>
      <c r="B390" s="1"/>
      <c r="C390" s="2"/>
      <c r="D390" s="1"/>
      <c r="E390" s="3"/>
      <c r="F390" s="3"/>
      <c r="G390" s="1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1"/>
      <c r="B391" s="1"/>
      <c r="C391" s="2"/>
      <c r="D391" s="1"/>
      <c r="E391" s="3"/>
      <c r="F391" s="3"/>
      <c r="G391" s="1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1"/>
      <c r="B392" s="1"/>
      <c r="C392" s="2"/>
      <c r="D392" s="1"/>
      <c r="E392" s="3"/>
      <c r="F392" s="3"/>
      <c r="G392" s="1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1"/>
      <c r="B393" s="1"/>
      <c r="C393" s="2"/>
      <c r="D393" s="1"/>
      <c r="E393" s="3"/>
      <c r="F393" s="3"/>
      <c r="G393" s="1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1"/>
      <c r="B394" s="1"/>
      <c r="C394" s="2"/>
      <c r="D394" s="1"/>
      <c r="E394" s="3"/>
      <c r="F394" s="3"/>
      <c r="G394" s="1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1"/>
      <c r="B395" s="1"/>
      <c r="C395" s="2"/>
      <c r="D395" s="1"/>
      <c r="E395" s="3"/>
      <c r="F395" s="3"/>
      <c r="G395" s="1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1"/>
      <c r="B396" s="1"/>
      <c r="C396" s="2"/>
      <c r="D396" s="1"/>
      <c r="E396" s="3"/>
      <c r="F396" s="3"/>
      <c r="G396" s="1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1"/>
      <c r="B397" s="1"/>
      <c r="C397" s="2"/>
      <c r="D397" s="1"/>
      <c r="E397" s="3"/>
      <c r="F397" s="3"/>
      <c r="G397" s="1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1"/>
      <c r="B398" s="1"/>
      <c r="C398" s="2"/>
      <c r="D398" s="1"/>
      <c r="E398" s="3"/>
      <c r="F398" s="3"/>
      <c r="G398" s="1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1"/>
      <c r="B399" s="1"/>
      <c r="C399" s="2"/>
      <c r="D399" s="1"/>
      <c r="E399" s="3"/>
      <c r="F399" s="3"/>
      <c r="G399" s="1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1"/>
      <c r="B400" s="1"/>
      <c r="C400" s="2"/>
      <c r="D400" s="1"/>
      <c r="E400" s="3"/>
      <c r="F400" s="3"/>
      <c r="G400" s="1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1"/>
      <c r="B401" s="1"/>
      <c r="C401" s="2"/>
      <c r="D401" s="1"/>
      <c r="E401" s="3"/>
      <c r="F401" s="3"/>
      <c r="G401" s="1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1"/>
      <c r="B402" s="1"/>
      <c r="C402" s="2"/>
      <c r="D402" s="1"/>
      <c r="E402" s="3"/>
      <c r="F402" s="3"/>
      <c r="G402" s="1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1"/>
      <c r="B403" s="1"/>
      <c r="C403" s="2"/>
      <c r="D403" s="1"/>
      <c r="E403" s="3"/>
      <c r="F403" s="3"/>
      <c r="G403" s="1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1"/>
      <c r="B404" s="1"/>
      <c r="C404" s="2"/>
      <c r="D404" s="1"/>
      <c r="E404" s="3"/>
      <c r="F404" s="3"/>
      <c r="G404" s="1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1"/>
      <c r="B405" s="1"/>
      <c r="C405" s="2"/>
      <c r="D405" s="1"/>
      <c r="E405" s="3"/>
      <c r="F405" s="3"/>
      <c r="G405" s="1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1"/>
      <c r="B406" s="1"/>
      <c r="C406" s="2"/>
      <c r="D406" s="1"/>
      <c r="E406" s="3"/>
      <c r="F406" s="3"/>
      <c r="G406" s="1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1"/>
      <c r="B407" s="1"/>
      <c r="C407" s="2"/>
      <c r="D407" s="1"/>
      <c r="E407" s="3"/>
      <c r="F407" s="3"/>
      <c r="G407" s="1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1"/>
      <c r="B408" s="1"/>
      <c r="C408" s="2"/>
      <c r="D408" s="1"/>
      <c r="E408" s="3"/>
      <c r="F408" s="3"/>
      <c r="G408" s="1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1"/>
      <c r="B409" s="1"/>
      <c r="C409" s="2"/>
      <c r="D409" s="1"/>
      <c r="E409" s="3"/>
      <c r="F409" s="3"/>
      <c r="G409" s="1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1"/>
      <c r="B410" s="1"/>
      <c r="C410" s="2"/>
      <c r="D410" s="1"/>
      <c r="E410" s="3"/>
      <c r="F410" s="3"/>
      <c r="G410" s="1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1"/>
      <c r="B411" s="1"/>
      <c r="C411" s="2"/>
      <c r="D411" s="1"/>
      <c r="E411" s="3"/>
      <c r="F411" s="3"/>
      <c r="G411" s="1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1"/>
      <c r="B412" s="1"/>
      <c r="C412" s="2"/>
      <c r="D412" s="1"/>
      <c r="E412" s="3"/>
      <c r="F412" s="3"/>
      <c r="G412" s="1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1"/>
      <c r="B413" s="1"/>
      <c r="C413" s="2"/>
      <c r="D413" s="1"/>
      <c r="E413" s="3"/>
      <c r="F413" s="3"/>
      <c r="G413" s="1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1"/>
      <c r="B414" s="1"/>
      <c r="C414" s="2"/>
      <c r="D414" s="1"/>
      <c r="E414" s="3"/>
      <c r="F414" s="3"/>
      <c r="G414" s="1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1"/>
      <c r="B415" s="1"/>
      <c r="C415" s="2"/>
      <c r="D415" s="1"/>
      <c r="E415" s="3"/>
      <c r="F415" s="3"/>
      <c r="G415" s="1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1"/>
      <c r="B416" s="1"/>
      <c r="C416" s="2"/>
      <c r="D416" s="1"/>
      <c r="E416" s="3"/>
      <c r="F416" s="3"/>
      <c r="G416" s="1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1"/>
      <c r="B417" s="1"/>
      <c r="C417" s="2"/>
      <c r="D417" s="1"/>
      <c r="E417" s="3"/>
      <c r="F417" s="3"/>
      <c r="G417" s="1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1"/>
      <c r="B418" s="1"/>
      <c r="C418" s="2"/>
      <c r="D418" s="1"/>
      <c r="E418" s="3"/>
      <c r="F418" s="3"/>
      <c r="G418" s="1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1"/>
      <c r="B419" s="1"/>
      <c r="C419" s="2"/>
      <c r="D419" s="1"/>
      <c r="E419" s="3"/>
      <c r="F419" s="3"/>
      <c r="G419" s="1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1"/>
      <c r="B420" s="1"/>
      <c r="C420" s="2"/>
      <c r="D420" s="1"/>
      <c r="E420" s="3"/>
      <c r="F420" s="3"/>
      <c r="G420" s="1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1"/>
      <c r="B421" s="1"/>
      <c r="C421" s="2"/>
      <c r="D421" s="1"/>
      <c r="E421" s="3"/>
      <c r="F421" s="3"/>
      <c r="G421" s="1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1"/>
      <c r="B422" s="1"/>
      <c r="C422" s="2"/>
      <c r="D422" s="1"/>
      <c r="E422" s="3"/>
      <c r="F422" s="3"/>
      <c r="G422" s="1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1"/>
      <c r="B423" s="1"/>
      <c r="C423" s="2"/>
      <c r="D423" s="1"/>
      <c r="E423" s="3"/>
      <c r="F423" s="3"/>
      <c r="G423" s="1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1"/>
      <c r="B424" s="1"/>
      <c r="C424" s="2"/>
      <c r="D424" s="1"/>
      <c r="E424" s="3"/>
      <c r="F424" s="3"/>
      <c r="G424" s="1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1"/>
      <c r="B425" s="1"/>
      <c r="C425" s="2"/>
      <c r="D425" s="1"/>
      <c r="E425" s="3"/>
      <c r="F425" s="3"/>
      <c r="G425" s="1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1"/>
      <c r="B426" s="1"/>
      <c r="C426" s="2"/>
      <c r="D426" s="1"/>
      <c r="E426" s="3"/>
      <c r="F426" s="3"/>
      <c r="G426" s="1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1"/>
      <c r="B427" s="1"/>
      <c r="C427" s="2"/>
      <c r="D427" s="1"/>
      <c r="E427" s="3"/>
      <c r="F427" s="3"/>
      <c r="G427" s="1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1"/>
      <c r="B428" s="1"/>
      <c r="C428" s="2"/>
      <c r="D428" s="1"/>
      <c r="E428" s="3"/>
      <c r="F428" s="3"/>
      <c r="G428" s="1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1"/>
      <c r="B429" s="1"/>
      <c r="C429" s="2"/>
      <c r="D429" s="1"/>
      <c r="E429" s="3"/>
      <c r="F429" s="3"/>
      <c r="G429" s="1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1"/>
      <c r="B430" s="1"/>
      <c r="C430" s="2"/>
      <c r="D430" s="1"/>
      <c r="E430" s="3"/>
      <c r="F430" s="3"/>
      <c r="G430" s="1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1"/>
      <c r="B431" s="1"/>
      <c r="C431" s="2"/>
      <c r="D431" s="1"/>
      <c r="E431" s="3"/>
      <c r="F431" s="3"/>
      <c r="G431" s="1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1"/>
      <c r="B432" s="1"/>
      <c r="C432" s="2"/>
      <c r="D432" s="1"/>
      <c r="E432" s="3"/>
      <c r="F432" s="3"/>
      <c r="G432" s="1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1"/>
      <c r="B433" s="1"/>
      <c r="C433" s="2"/>
      <c r="D433" s="1"/>
      <c r="E433" s="3"/>
      <c r="F433" s="3"/>
      <c r="G433" s="1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1"/>
      <c r="B434" s="1"/>
      <c r="C434" s="2"/>
      <c r="D434" s="1"/>
      <c r="E434" s="3"/>
      <c r="F434" s="3"/>
      <c r="G434" s="1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1"/>
      <c r="B435" s="1"/>
      <c r="C435" s="2"/>
      <c r="D435" s="1"/>
      <c r="E435" s="3"/>
      <c r="F435" s="3"/>
      <c r="G435" s="1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1"/>
      <c r="B436" s="1"/>
      <c r="C436" s="2"/>
      <c r="D436" s="1"/>
      <c r="E436" s="3"/>
      <c r="F436" s="3"/>
      <c r="G436" s="1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1"/>
      <c r="B437" s="1"/>
      <c r="C437" s="2"/>
      <c r="D437" s="1"/>
      <c r="E437" s="3"/>
      <c r="F437" s="3"/>
      <c r="G437" s="1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1"/>
      <c r="B438" s="1"/>
      <c r="C438" s="2"/>
      <c r="D438" s="1"/>
      <c r="E438" s="3"/>
      <c r="F438" s="3"/>
      <c r="G438" s="1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1"/>
      <c r="B439" s="1"/>
      <c r="C439" s="2"/>
      <c r="D439" s="1"/>
      <c r="E439" s="3"/>
      <c r="F439" s="3"/>
      <c r="G439" s="1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1"/>
      <c r="B440" s="1"/>
      <c r="C440" s="2"/>
      <c r="D440" s="1"/>
      <c r="E440" s="3"/>
      <c r="F440" s="3"/>
      <c r="G440" s="1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1"/>
      <c r="B441" s="1"/>
      <c r="C441" s="2"/>
      <c r="D441" s="1"/>
      <c r="E441" s="3"/>
      <c r="F441" s="3"/>
      <c r="G441" s="1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1"/>
      <c r="B442" s="1"/>
      <c r="C442" s="2"/>
      <c r="D442" s="1"/>
      <c r="E442" s="3"/>
      <c r="F442" s="3"/>
      <c r="G442" s="1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1"/>
      <c r="B443" s="1"/>
      <c r="C443" s="2"/>
      <c r="D443" s="1"/>
      <c r="E443" s="3"/>
      <c r="F443" s="3"/>
      <c r="G443" s="1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1"/>
      <c r="B444" s="1"/>
      <c r="C444" s="2"/>
      <c r="D444" s="1"/>
      <c r="E444" s="3"/>
      <c r="F444" s="3"/>
      <c r="G444" s="1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1"/>
      <c r="B445" s="1"/>
      <c r="C445" s="2"/>
      <c r="D445" s="1"/>
      <c r="E445" s="3"/>
      <c r="F445" s="3"/>
      <c r="G445" s="1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1"/>
      <c r="B446" s="1"/>
      <c r="C446" s="2"/>
      <c r="D446" s="1"/>
      <c r="E446" s="3"/>
      <c r="F446" s="3"/>
      <c r="G446" s="1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1"/>
      <c r="B447" s="1"/>
      <c r="C447" s="2"/>
      <c r="D447" s="1"/>
      <c r="E447" s="3"/>
      <c r="F447" s="3"/>
      <c r="G447" s="1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1"/>
      <c r="B448" s="1"/>
      <c r="C448" s="2"/>
      <c r="D448" s="1"/>
      <c r="E448" s="3"/>
      <c r="F448" s="3"/>
      <c r="G448" s="1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1"/>
      <c r="B449" s="1"/>
      <c r="C449" s="2"/>
      <c r="D449" s="1"/>
      <c r="E449" s="3"/>
      <c r="F449" s="3"/>
      <c r="G449" s="1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1"/>
      <c r="B450" s="1"/>
      <c r="C450" s="2"/>
      <c r="D450" s="1"/>
      <c r="E450" s="3"/>
      <c r="F450" s="3"/>
      <c r="G450" s="1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1"/>
      <c r="B451" s="1"/>
      <c r="C451" s="2"/>
      <c r="D451" s="1"/>
      <c r="E451" s="3"/>
      <c r="F451" s="3"/>
      <c r="G451" s="1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1"/>
      <c r="B452" s="1"/>
      <c r="C452" s="2"/>
      <c r="D452" s="1"/>
      <c r="E452" s="3"/>
      <c r="F452" s="3"/>
      <c r="G452" s="1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1"/>
      <c r="B453" s="1"/>
      <c r="C453" s="2"/>
      <c r="D453" s="1"/>
      <c r="E453" s="3"/>
      <c r="F453" s="3"/>
      <c r="G453" s="1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1"/>
      <c r="B454" s="1"/>
      <c r="C454" s="2"/>
      <c r="D454" s="1"/>
      <c r="E454" s="3"/>
      <c r="F454" s="3"/>
      <c r="G454" s="1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1"/>
      <c r="B455" s="1"/>
      <c r="C455" s="2"/>
      <c r="D455" s="1"/>
      <c r="E455" s="3"/>
      <c r="F455" s="3"/>
      <c r="G455" s="1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1"/>
      <c r="B456" s="1"/>
      <c r="C456" s="2"/>
      <c r="D456" s="1"/>
      <c r="E456" s="3"/>
      <c r="F456" s="3"/>
      <c r="G456" s="1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1"/>
      <c r="B457" s="1"/>
      <c r="C457" s="2"/>
      <c r="D457" s="1"/>
      <c r="E457" s="3"/>
      <c r="F457" s="3"/>
      <c r="G457" s="1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1"/>
      <c r="B458" s="1"/>
      <c r="C458" s="2"/>
      <c r="D458" s="1"/>
      <c r="E458" s="3"/>
      <c r="F458" s="3"/>
      <c r="G458" s="1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1"/>
      <c r="B459" s="1"/>
      <c r="C459" s="2"/>
      <c r="D459" s="1"/>
      <c r="E459" s="3"/>
      <c r="F459" s="3"/>
      <c r="G459" s="1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1"/>
      <c r="B460" s="1"/>
      <c r="C460" s="2"/>
      <c r="D460" s="1"/>
      <c r="E460" s="3"/>
      <c r="F460" s="3"/>
      <c r="G460" s="1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1"/>
      <c r="B461" s="1"/>
      <c r="C461" s="2"/>
      <c r="D461" s="1"/>
      <c r="E461" s="3"/>
      <c r="F461" s="3"/>
      <c r="G461" s="1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1"/>
      <c r="B462" s="1"/>
      <c r="C462" s="2"/>
      <c r="D462" s="1"/>
      <c r="E462" s="3"/>
      <c r="F462" s="3"/>
      <c r="G462" s="1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1"/>
      <c r="B463" s="1"/>
      <c r="C463" s="2"/>
      <c r="D463" s="1"/>
      <c r="E463" s="3"/>
      <c r="F463" s="3"/>
      <c r="G463" s="1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1"/>
      <c r="B464" s="1"/>
      <c r="C464" s="2"/>
      <c r="D464" s="1"/>
      <c r="E464" s="3"/>
      <c r="F464" s="3"/>
      <c r="G464" s="1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1"/>
      <c r="B465" s="1"/>
      <c r="C465" s="2"/>
      <c r="D465" s="1"/>
      <c r="E465" s="3"/>
      <c r="F465" s="3"/>
      <c r="G465" s="1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1"/>
      <c r="B466" s="1"/>
      <c r="C466" s="2"/>
      <c r="D466" s="1"/>
      <c r="E466" s="3"/>
      <c r="F466" s="3"/>
      <c r="G466" s="1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1"/>
      <c r="B467" s="1"/>
      <c r="C467" s="2"/>
      <c r="D467" s="1"/>
      <c r="E467" s="3"/>
      <c r="F467" s="3"/>
      <c r="G467" s="1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1"/>
      <c r="B468" s="1"/>
      <c r="C468" s="2"/>
      <c r="D468" s="1"/>
      <c r="E468" s="3"/>
      <c r="F468" s="3"/>
      <c r="G468" s="1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1"/>
      <c r="B469" s="1"/>
      <c r="C469" s="2"/>
      <c r="D469" s="1"/>
      <c r="E469" s="3"/>
      <c r="F469" s="3"/>
      <c r="G469" s="1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1"/>
      <c r="B470" s="1"/>
      <c r="C470" s="2"/>
      <c r="D470" s="1"/>
      <c r="E470" s="3"/>
      <c r="F470" s="3"/>
      <c r="G470" s="1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1"/>
      <c r="B471" s="1"/>
      <c r="C471" s="2"/>
      <c r="D471" s="1"/>
      <c r="E471" s="3"/>
      <c r="F471" s="3"/>
      <c r="G471" s="1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1"/>
      <c r="B472" s="1"/>
      <c r="C472" s="2"/>
      <c r="D472" s="1"/>
      <c r="E472" s="3"/>
      <c r="F472" s="3"/>
      <c r="G472" s="1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1"/>
      <c r="B473" s="1"/>
      <c r="C473" s="2"/>
      <c r="D473" s="1"/>
      <c r="E473" s="3"/>
      <c r="F473" s="3"/>
      <c r="G473" s="1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1"/>
      <c r="B474" s="1"/>
      <c r="C474" s="2"/>
      <c r="D474" s="1"/>
      <c r="E474" s="3"/>
      <c r="F474" s="3"/>
      <c r="G474" s="1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1"/>
      <c r="B475" s="1"/>
      <c r="C475" s="2"/>
      <c r="D475" s="1"/>
      <c r="E475" s="3"/>
      <c r="F475" s="3"/>
      <c r="G475" s="1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1"/>
      <c r="B476" s="1"/>
      <c r="C476" s="2"/>
      <c r="D476" s="1"/>
      <c r="E476" s="3"/>
      <c r="F476" s="3"/>
      <c r="G476" s="1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1"/>
      <c r="B477" s="1"/>
      <c r="C477" s="2"/>
      <c r="D477" s="1"/>
      <c r="E477" s="3"/>
      <c r="F477" s="3"/>
      <c r="G477" s="1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1"/>
      <c r="B478" s="1"/>
      <c r="C478" s="2"/>
      <c r="D478" s="1"/>
      <c r="E478" s="3"/>
      <c r="F478" s="3"/>
      <c r="G478" s="1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1"/>
      <c r="B479" s="1"/>
      <c r="C479" s="2"/>
      <c r="D479" s="1"/>
      <c r="E479" s="3"/>
      <c r="F479" s="3"/>
      <c r="G479" s="1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1"/>
      <c r="B480" s="1"/>
      <c r="C480" s="2"/>
      <c r="D480" s="1"/>
      <c r="E480" s="3"/>
      <c r="F480" s="3"/>
      <c r="G480" s="1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1"/>
      <c r="B481" s="1"/>
      <c r="C481" s="2"/>
      <c r="D481" s="1"/>
      <c r="E481" s="3"/>
      <c r="F481" s="3"/>
      <c r="G481" s="1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1"/>
      <c r="B482" s="1"/>
      <c r="C482" s="2"/>
      <c r="D482" s="1"/>
      <c r="E482" s="3"/>
      <c r="F482" s="3"/>
      <c r="G482" s="1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1"/>
      <c r="B483" s="1"/>
      <c r="C483" s="2"/>
      <c r="D483" s="1"/>
      <c r="E483" s="3"/>
      <c r="F483" s="3"/>
      <c r="G483" s="1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1"/>
      <c r="B484" s="1"/>
      <c r="C484" s="2"/>
      <c r="D484" s="1"/>
      <c r="E484" s="3"/>
      <c r="F484" s="3"/>
      <c r="G484" s="1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1"/>
      <c r="B485" s="1"/>
      <c r="C485" s="2"/>
      <c r="D485" s="1"/>
      <c r="E485" s="3"/>
      <c r="F485" s="3"/>
      <c r="G485" s="1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1"/>
      <c r="B486" s="1"/>
      <c r="C486" s="2"/>
      <c r="D486" s="1"/>
      <c r="E486" s="3"/>
      <c r="F486" s="3"/>
      <c r="G486" s="1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1"/>
      <c r="B487" s="1"/>
      <c r="C487" s="2"/>
      <c r="D487" s="1"/>
      <c r="E487" s="3"/>
      <c r="F487" s="3"/>
      <c r="G487" s="1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1"/>
      <c r="B488" s="1"/>
      <c r="C488" s="2"/>
      <c r="D488" s="1"/>
      <c r="E488" s="3"/>
      <c r="F488" s="3"/>
      <c r="G488" s="1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1"/>
      <c r="B489" s="1"/>
      <c r="C489" s="2"/>
      <c r="D489" s="1"/>
      <c r="E489" s="3"/>
      <c r="F489" s="3"/>
      <c r="G489" s="1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1"/>
      <c r="B490" s="1"/>
      <c r="C490" s="2"/>
      <c r="D490" s="1"/>
      <c r="E490" s="3"/>
      <c r="F490" s="3"/>
      <c r="G490" s="1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1"/>
      <c r="B491" s="1"/>
      <c r="C491" s="2"/>
      <c r="D491" s="1"/>
      <c r="E491" s="3"/>
      <c r="F491" s="3"/>
      <c r="G491" s="1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1"/>
      <c r="B492" s="1"/>
      <c r="C492" s="2"/>
      <c r="D492" s="1"/>
      <c r="E492" s="3"/>
      <c r="F492" s="3"/>
      <c r="G492" s="1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1"/>
      <c r="B493" s="1"/>
      <c r="C493" s="2"/>
      <c r="D493" s="1"/>
      <c r="E493" s="3"/>
      <c r="F493" s="3"/>
      <c r="G493" s="1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1"/>
      <c r="B494" s="1"/>
      <c r="C494" s="2"/>
      <c r="D494" s="1"/>
      <c r="E494" s="3"/>
      <c r="F494" s="3"/>
      <c r="G494" s="1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1"/>
      <c r="B495" s="1"/>
      <c r="C495" s="2"/>
      <c r="D495" s="1"/>
      <c r="E495" s="3"/>
      <c r="F495" s="3"/>
      <c r="G495" s="1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1"/>
      <c r="B496" s="1"/>
      <c r="C496" s="2"/>
      <c r="D496" s="1"/>
      <c r="E496" s="3"/>
      <c r="F496" s="3"/>
      <c r="G496" s="1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1"/>
      <c r="B497" s="1"/>
      <c r="C497" s="2"/>
      <c r="D497" s="1"/>
      <c r="E497" s="3"/>
      <c r="F497" s="3"/>
      <c r="G497" s="1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1"/>
      <c r="B498" s="1"/>
      <c r="C498" s="2"/>
      <c r="D498" s="1"/>
      <c r="E498" s="3"/>
      <c r="F498" s="3"/>
      <c r="G498" s="1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1"/>
      <c r="B499" s="1"/>
      <c r="C499" s="2"/>
      <c r="D499" s="1"/>
      <c r="E499" s="3"/>
      <c r="F499" s="3"/>
      <c r="G499" s="1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1"/>
      <c r="B500" s="1"/>
      <c r="C500" s="2"/>
      <c r="D500" s="1"/>
      <c r="E500" s="3"/>
      <c r="F500" s="3"/>
      <c r="G500" s="1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1"/>
      <c r="B501" s="1"/>
      <c r="C501" s="2"/>
      <c r="D501" s="1"/>
      <c r="E501" s="3"/>
      <c r="F501" s="3"/>
      <c r="G501" s="1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1"/>
      <c r="B502" s="1"/>
      <c r="C502" s="2"/>
      <c r="D502" s="1"/>
      <c r="E502" s="3"/>
      <c r="F502" s="3"/>
      <c r="G502" s="1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1"/>
      <c r="B503" s="1"/>
      <c r="C503" s="2"/>
      <c r="D503" s="1"/>
      <c r="E503" s="3"/>
      <c r="F503" s="3"/>
      <c r="G503" s="1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1"/>
      <c r="B504" s="1"/>
      <c r="C504" s="2"/>
      <c r="D504" s="1"/>
      <c r="E504" s="3"/>
      <c r="F504" s="3"/>
      <c r="G504" s="1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1"/>
      <c r="B505" s="1"/>
      <c r="C505" s="2"/>
      <c r="D505" s="1"/>
      <c r="E505" s="3"/>
      <c r="F505" s="3"/>
      <c r="G505" s="1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1"/>
      <c r="B506" s="1"/>
      <c r="C506" s="2"/>
      <c r="D506" s="1"/>
      <c r="E506" s="3"/>
      <c r="F506" s="3"/>
      <c r="G506" s="1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1"/>
      <c r="B507" s="1"/>
      <c r="C507" s="2"/>
      <c r="D507" s="1"/>
      <c r="E507" s="3"/>
      <c r="F507" s="3"/>
      <c r="G507" s="1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1"/>
      <c r="B508" s="1"/>
      <c r="C508" s="2"/>
      <c r="D508" s="1"/>
      <c r="E508" s="3"/>
      <c r="F508" s="3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1"/>
      <c r="B509" s="1"/>
      <c r="C509" s="2"/>
      <c r="D509" s="1"/>
      <c r="E509" s="3"/>
      <c r="F509" s="3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1"/>
      <c r="B510" s="1"/>
      <c r="C510" s="2"/>
      <c r="D510" s="1"/>
      <c r="E510" s="3"/>
      <c r="F510" s="3"/>
      <c r="G510" s="1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1"/>
      <c r="B511" s="1"/>
      <c r="C511" s="2"/>
      <c r="D511" s="1"/>
      <c r="E511" s="3"/>
      <c r="F511" s="3"/>
      <c r="G511" s="1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1"/>
      <c r="B512" s="1"/>
      <c r="C512" s="2"/>
      <c r="D512" s="1"/>
      <c r="E512" s="3"/>
      <c r="F512" s="3"/>
      <c r="G512" s="1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1"/>
      <c r="B513" s="1"/>
      <c r="C513" s="2"/>
      <c r="D513" s="1"/>
      <c r="E513" s="3"/>
      <c r="F513" s="3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1"/>
      <c r="B514" s="1"/>
      <c r="C514" s="2"/>
      <c r="D514" s="1"/>
      <c r="E514" s="3"/>
      <c r="F514" s="3"/>
      <c r="G514" s="1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1"/>
      <c r="B515" s="1"/>
      <c r="C515" s="2"/>
      <c r="D515" s="1"/>
      <c r="E515" s="3"/>
      <c r="F515" s="3"/>
      <c r="G515" s="1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1"/>
      <c r="B516" s="1"/>
      <c r="C516" s="2"/>
      <c r="D516" s="1"/>
      <c r="E516" s="3"/>
      <c r="F516" s="3"/>
      <c r="G516" s="1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1"/>
      <c r="B517" s="1"/>
      <c r="C517" s="2"/>
      <c r="D517" s="1"/>
      <c r="E517" s="3"/>
      <c r="F517" s="3"/>
      <c r="G517" s="1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1"/>
      <c r="B518" s="1"/>
      <c r="C518" s="2"/>
      <c r="D518" s="1"/>
      <c r="E518" s="3"/>
      <c r="F518" s="3"/>
      <c r="G518" s="1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1"/>
      <c r="B519" s="1"/>
      <c r="C519" s="2"/>
      <c r="D519" s="1"/>
      <c r="E519" s="3"/>
      <c r="F519" s="3"/>
      <c r="G519" s="1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1"/>
      <c r="B520" s="1"/>
      <c r="C520" s="2"/>
      <c r="D520" s="1"/>
      <c r="E520" s="3"/>
      <c r="F520" s="3"/>
      <c r="G520" s="1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1"/>
      <c r="B521" s="1"/>
      <c r="C521" s="2"/>
      <c r="D521" s="1"/>
      <c r="E521" s="3"/>
      <c r="F521" s="3"/>
      <c r="G521" s="1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1"/>
      <c r="B522" s="1"/>
      <c r="C522" s="2"/>
      <c r="D522" s="1"/>
      <c r="E522" s="3"/>
      <c r="F522" s="3"/>
      <c r="G522" s="1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1"/>
      <c r="B523" s="1"/>
      <c r="C523" s="2"/>
      <c r="D523" s="1"/>
      <c r="E523" s="3"/>
      <c r="F523" s="3"/>
      <c r="G523" s="1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1"/>
      <c r="B524" s="1"/>
      <c r="C524" s="2"/>
      <c r="D524" s="1"/>
      <c r="E524" s="3"/>
      <c r="F524" s="3"/>
      <c r="G524" s="1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1"/>
      <c r="B525" s="1"/>
      <c r="C525" s="2"/>
      <c r="D525" s="1"/>
      <c r="E525" s="3"/>
      <c r="F525" s="3"/>
      <c r="G525" s="1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1"/>
      <c r="B526" s="1"/>
      <c r="C526" s="2"/>
      <c r="D526" s="1"/>
      <c r="E526" s="3"/>
      <c r="F526" s="3"/>
      <c r="G526" s="1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1"/>
      <c r="B527" s="1"/>
      <c r="C527" s="2"/>
      <c r="D527" s="1"/>
      <c r="E527" s="3"/>
      <c r="F527" s="3"/>
      <c r="G527" s="1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1"/>
      <c r="B528" s="1"/>
      <c r="C528" s="2"/>
      <c r="D528" s="1"/>
      <c r="E528" s="3"/>
      <c r="F528" s="3"/>
      <c r="G528" s="1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1"/>
      <c r="B529" s="1"/>
      <c r="C529" s="2"/>
      <c r="D529" s="1"/>
      <c r="E529" s="3"/>
      <c r="F529" s="3"/>
      <c r="G529" s="1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1"/>
      <c r="B530" s="1"/>
      <c r="C530" s="2"/>
      <c r="D530" s="1"/>
      <c r="E530" s="3"/>
      <c r="F530" s="3"/>
      <c r="G530" s="1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1"/>
      <c r="B531" s="1"/>
      <c r="C531" s="2"/>
      <c r="D531" s="1"/>
      <c r="E531" s="3"/>
      <c r="F531" s="3"/>
      <c r="G531" s="1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1"/>
      <c r="B532" s="1"/>
      <c r="C532" s="2"/>
      <c r="D532" s="1"/>
      <c r="E532" s="3"/>
      <c r="F532" s="3"/>
      <c r="G532" s="1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1"/>
      <c r="B533" s="1"/>
      <c r="C533" s="2"/>
      <c r="D533" s="1"/>
      <c r="E533" s="3"/>
      <c r="F533" s="3"/>
      <c r="G533" s="1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1"/>
      <c r="B534" s="1"/>
      <c r="C534" s="2"/>
      <c r="D534" s="1"/>
      <c r="E534" s="3"/>
      <c r="F534" s="3"/>
      <c r="G534" s="1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1"/>
      <c r="B535" s="1"/>
      <c r="C535" s="2"/>
      <c r="D535" s="1"/>
      <c r="E535" s="3"/>
      <c r="F535" s="3"/>
      <c r="G535" s="1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1"/>
      <c r="B536" s="1"/>
      <c r="C536" s="2"/>
      <c r="D536" s="1"/>
      <c r="E536" s="3"/>
      <c r="F536" s="3"/>
      <c r="G536" s="1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1"/>
      <c r="B537" s="1"/>
      <c r="C537" s="2"/>
      <c r="D537" s="1"/>
      <c r="E537" s="3"/>
      <c r="F537" s="3"/>
      <c r="G537" s="1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1"/>
      <c r="B538" s="1"/>
      <c r="C538" s="2"/>
      <c r="D538" s="1"/>
      <c r="E538" s="3"/>
      <c r="F538" s="3"/>
      <c r="G538" s="1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1"/>
      <c r="B539" s="1"/>
      <c r="C539" s="2"/>
      <c r="D539" s="1"/>
      <c r="E539" s="3"/>
      <c r="F539" s="3"/>
      <c r="G539" s="1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1"/>
      <c r="B540" s="1"/>
      <c r="C540" s="2"/>
      <c r="D540" s="1"/>
      <c r="E540" s="3"/>
      <c r="F540" s="3"/>
      <c r="G540" s="1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1"/>
      <c r="B541" s="1"/>
      <c r="C541" s="2"/>
      <c r="D541" s="1"/>
      <c r="E541" s="3"/>
      <c r="F541" s="3"/>
      <c r="G541" s="1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1"/>
      <c r="B542" s="1"/>
      <c r="C542" s="2"/>
      <c r="D542" s="1"/>
      <c r="E542" s="3"/>
      <c r="F542" s="3"/>
      <c r="G542" s="1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1"/>
      <c r="B543" s="1"/>
      <c r="C543" s="2"/>
      <c r="D543" s="1"/>
      <c r="E543" s="3"/>
      <c r="F543" s="3"/>
      <c r="G543" s="1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1"/>
      <c r="B544" s="1"/>
      <c r="C544" s="2"/>
      <c r="D544" s="1"/>
      <c r="E544" s="3"/>
      <c r="F544" s="3"/>
      <c r="G544" s="1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1"/>
      <c r="B545" s="1"/>
      <c r="C545" s="2"/>
      <c r="D545" s="1"/>
      <c r="E545" s="3"/>
      <c r="F545" s="3"/>
      <c r="G545" s="1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1"/>
      <c r="B546" s="1"/>
      <c r="C546" s="2"/>
      <c r="D546" s="1"/>
      <c r="E546" s="3"/>
      <c r="F546" s="3"/>
      <c r="G546" s="1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1"/>
      <c r="B547" s="1"/>
      <c r="C547" s="2"/>
      <c r="D547" s="1"/>
      <c r="E547" s="3"/>
      <c r="F547" s="3"/>
      <c r="G547" s="1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1"/>
      <c r="B548" s="1"/>
      <c r="C548" s="2"/>
      <c r="D548" s="1"/>
      <c r="E548" s="3"/>
      <c r="F548" s="3"/>
      <c r="G548" s="1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1"/>
      <c r="B549" s="1"/>
      <c r="C549" s="2"/>
      <c r="D549" s="1"/>
      <c r="E549" s="3"/>
      <c r="F549" s="3"/>
      <c r="G549" s="1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1"/>
      <c r="B550" s="1"/>
      <c r="C550" s="2"/>
      <c r="D550" s="1"/>
      <c r="E550" s="3"/>
      <c r="F550" s="3"/>
      <c r="G550" s="1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1"/>
      <c r="B551" s="1"/>
      <c r="C551" s="2"/>
      <c r="D551" s="1"/>
      <c r="E551" s="3"/>
      <c r="F551" s="3"/>
      <c r="G551" s="1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1"/>
      <c r="B552" s="1"/>
      <c r="C552" s="2"/>
      <c r="D552" s="1"/>
      <c r="E552" s="3"/>
      <c r="F552" s="3"/>
      <c r="G552" s="1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1"/>
      <c r="B553" s="1"/>
      <c r="C553" s="2"/>
      <c r="D553" s="1"/>
      <c r="E553" s="3"/>
      <c r="F553" s="3"/>
      <c r="G553" s="1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1"/>
      <c r="B554" s="1"/>
      <c r="C554" s="2"/>
      <c r="D554" s="1"/>
      <c r="E554" s="3"/>
      <c r="F554" s="3"/>
      <c r="G554" s="1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1"/>
      <c r="B555" s="1"/>
      <c r="C555" s="2"/>
      <c r="D555" s="1"/>
      <c r="E555" s="3"/>
      <c r="F555" s="3"/>
      <c r="G555" s="1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1"/>
      <c r="B556" s="1"/>
      <c r="C556" s="2"/>
      <c r="D556" s="1"/>
      <c r="E556" s="3"/>
      <c r="F556" s="3"/>
      <c r="G556" s="1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1"/>
      <c r="B557" s="1"/>
      <c r="C557" s="2"/>
      <c r="D557" s="1"/>
      <c r="E557" s="3"/>
      <c r="F557" s="3"/>
      <c r="G557" s="1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1"/>
      <c r="B558" s="1"/>
      <c r="C558" s="2"/>
      <c r="D558" s="1"/>
      <c r="E558" s="3"/>
      <c r="F558" s="3"/>
      <c r="G558" s="1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1"/>
      <c r="B559" s="1"/>
      <c r="C559" s="2"/>
      <c r="D559" s="1"/>
      <c r="E559" s="3"/>
      <c r="F559" s="3"/>
      <c r="G559" s="1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1"/>
      <c r="B560" s="1"/>
      <c r="C560" s="2"/>
      <c r="D560" s="1"/>
      <c r="E560" s="3"/>
      <c r="F560" s="3"/>
      <c r="G560" s="1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1"/>
      <c r="B561" s="1"/>
      <c r="C561" s="2"/>
      <c r="D561" s="1"/>
      <c r="E561" s="3"/>
      <c r="F561" s="3"/>
      <c r="G561" s="1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1"/>
      <c r="B562" s="1"/>
      <c r="C562" s="2"/>
      <c r="D562" s="1"/>
      <c r="E562" s="3"/>
      <c r="F562" s="3"/>
      <c r="G562" s="1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1"/>
      <c r="B563" s="1"/>
      <c r="C563" s="2"/>
      <c r="D563" s="1"/>
      <c r="E563" s="3"/>
      <c r="F563" s="3"/>
      <c r="G563" s="1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1"/>
      <c r="B564" s="1"/>
      <c r="C564" s="2"/>
      <c r="D564" s="1"/>
      <c r="E564" s="3"/>
      <c r="F564" s="3"/>
      <c r="G564" s="1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1"/>
      <c r="B565" s="1"/>
      <c r="C565" s="2"/>
      <c r="D565" s="1"/>
      <c r="E565" s="3"/>
      <c r="F565" s="3"/>
      <c r="G565" s="1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1"/>
      <c r="B566" s="1"/>
      <c r="C566" s="2"/>
      <c r="D566" s="1"/>
      <c r="E566" s="3"/>
      <c r="F566" s="3"/>
      <c r="G566" s="1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1"/>
      <c r="B567" s="1"/>
      <c r="C567" s="2"/>
      <c r="D567" s="1"/>
      <c r="E567" s="3"/>
      <c r="F567" s="3"/>
      <c r="G567" s="1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1"/>
      <c r="B568" s="1"/>
      <c r="C568" s="2"/>
      <c r="D568" s="1"/>
      <c r="E568" s="3"/>
      <c r="F568" s="3"/>
      <c r="G568" s="1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1"/>
      <c r="B569" s="1"/>
      <c r="C569" s="2"/>
      <c r="D569" s="1"/>
      <c r="E569" s="3"/>
      <c r="F569" s="3"/>
      <c r="G569" s="1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1"/>
      <c r="B570" s="1"/>
      <c r="C570" s="2"/>
      <c r="D570" s="1"/>
      <c r="E570" s="3"/>
      <c r="F570" s="3"/>
      <c r="G570" s="1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1"/>
      <c r="B571" s="1"/>
      <c r="C571" s="2"/>
      <c r="D571" s="1"/>
      <c r="E571" s="3"/>
      <c r="F571" s="3"/>
      <c r="G571" s="1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1"/>
      <c r="B572" s="1"/>
      <c r="C572" s="2"/>
      <c r="D572" s="1"/>
      <c r="E572" s="3"/>
      <c r="F572" s="3"/>
      <c r="G572" s="1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1"/>
      <c r="B573" s="1"/>
      <c r="C573" s="2"/>
      <c r="D573" s="1"/>
      <c r="E573" s="3"/>
      <c r="F573" s="3"/>
      <c r="G573" s="1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1"/>
      <c r="B574" s="1"/>
      <c r="C574" s="2"/>
      <c r="D574" s="1"/>
      <c r="E574" s="3"/>
      <c r="F574" s="3"/>
      <c r="G574" s="1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1"/>
      <c r="B575" s="1"/>
      <c r="C575" s="2"/>
      <c r="D575" s="1"/>
      <c r="E575" s="3"/>
      <c r="F575" s="3"/>
      <c r="G575" s="1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1"/>
      <c r="B576" s="1"/>
      <c r="C576" s="2"/>
      <c r="D576" s="1"/>
      <c r="E576" s="3"/>
      <c r="F576" s="3"/>
      <c r="G576" s="1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1"/>
      <c r="B577" s="1"/>
      <c r="C577" s="2"/>
      <c r="D577" s="1"/>
      <c r="E577" s="3"/>
      <c r="F577" s="3"/>
      <c r="G577" s="1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1"/>
      <c r="B578" s="1"/>
      <c r="C578" s="2"/>
      <c r="D578" s="1"/>
      <c r="E578" s="3"/>
      <c r="F578" s="3"/>
      <c r="G578" s="1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1"/>
      <c r="B579" s="1"/>
      <c r="C579" s="2"/>
      <c r="D579" s="1"/>
      <c r="E579" s="3"/>
      <c r="F579" s="3"/>
      <c r="G579" s="1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1"/>
      <c r="B580" s="1"/>
      <c r="C580" s="2"/>
      <c r="D580" s="1"/>
      <c r="E580" s="3"/>
      <c r="F580" s="3"/>
      <c r="G580" s="1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1"/>
      <c r="B581" s="1"/>
      <c r="C581" s="2"/>
      <c r="D581" s="1"/>
      <c r="E581" s="3"/>
      <c r="F581" s="3"/>
      <c r="G581" s="1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1"/>
      <c r="B582" s="1"/>
      <c r="C582" s="2"/>
      <c r="D582" s="1"/>
      <c r="E582" s="3"/>
      <c r="F582" s="3"/>
      <c r="G582" s="1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1"/>
      <c r="B583" s="1"/>
      <c r="C583" s="2"/>
      <c r="D583" s="1"/>
      <c r="E583" s="3"/>
      <c r="F583" s="3"/>
      <c r="G583" s="1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1"/>
      <c r="B584" s="1"/>
      <c r="C584" s="2"/>
      <c r="D584" s="1"/>
      <c r="E584" s="3"/>
      <c r="F584" s="3"/>
      <c r="G584" s="1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1"/>
      <c r="B585" s="1"/>
      <c r="C585" s="2"/>
      <c r="D585" s="1"/>
      <c r="E585" s="3"/>
      <c r="F585" s="3"/>
      <c r="G585" s="1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1"/>
      <c r="B586" s="1"/>
      <c r="C586" s="2"/>
      <c r="D586" s="1"/>
      <c r="E586" s="3"/>
      <c r="F586" s="3"/>
      <c r="G586" s="1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1"/>
      <c r="B587" s="1"/>
      <c r="C587" s="2"/>
      <c r="D587" s="1"/>
      <c r="E587" s="3"/>
      <c r="F587" s="3"/>
      <c r="G587" s="1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1"/>
      <c r="B588" s="1"/>
      <c r="C588" s="2"/>
      <c r="D588" s="1"/>
      <c r="E588" s="3"/>
      <c r="F588" s="3"/>
      <c r="G588" s="1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1"/>
      <c r="B589" s="1"/>
      <c r="C589" s="2"/>
      <c r="D589" s="1"/>
      <c r="E589" s="3"/>
      <c r="F589" s="3"/>
      <c r="G589" s="1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1"/>
      <c r="B590" s="1"/>
      <c r="C590" s="2"/>
      <c r="D590" s="1"/>
      <c r="E590" s="3"/>
      <c r="F590" s="3"/>
      <c r="G590" s="1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1"/>
      <c r="B591" s="1"/>
      <c r="C591" s="2"/>
      <c r="D591" s="1"/>
      <c r="E591" s="3"/>
      <c r="F591" s="3"/>
      <c r="G591" s="1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1"/>
      <c r="B592" s="1"/>
      <c r="C592" s="2"/>
      <c r="D592" s="1"/>
      <c r="E592" s="3"/>
      <c r="F592" s="3"/>
      <c r="G592" s="1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1"/>
      <c r="B593" s="1"/>
      <c r="C593" s="2"/>
      <c r="D593" s="1"/>
      <c r="E593" s="3"/>
      <c r="F593" s="3"/>
      <c r="G593" s="1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1"/>
      <c r="B594" s="1"/>
      <c r="C594" s="2"/>
      <c r="D594" s="1"/>
      <c r="E594" s="3"/>
      <c r="F594" s="3"/>
      <c r="G594" s="1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1"/>
      <c r="B595" s="1"/>
      <c r="C595" s="2"/>
      <c r="D595" s="1"/>
      <c r="E595" s="3"/>
      <c r="F595" s="3"/>
      <c r="G595" s="1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1"/>
      <c r="B596" s="1"/>
      <c r="C596" s="2"/>
      <c r="D596" s="1"/>
      <c r="E596" s="3"/>
      <c r="F596" s="3"/>
      <c r="G596" s="1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1"/>
      <c r="B597" s="1"/>
      <c r="C597" s="2"/>
      <c r="D597" s="1"/>
      <c r="E597" s="3"/>
      <c r="F597" s="3"/>
      <c r="G597" s="1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1"/>
      <c r="B598" s="1"/>
      <c r="C598" s="2"/>
      <c r="D598" s="1"/>
      <c r="E598" s="3"/>
      <c r="F598" s="3"/>
      <c r="G598" s="1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1"/>
      <c r="B599" s="1"/>
      <c r="C599" s="2"/>
      <c r="D599" s="1"/>
      <c r="E599" s="3"/>
      <c r="F599" s="3"/>
      <c r="G599" s="1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1"/>
      <c r="B600" s="1"/>
      <c r="C600" s="2"/>
      <c r="D600" s="1"/>
      <c r="E600" s="3"/>
      <c r="F600" s="3"/>
      <c r="G600" s="1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1"/>
      <c r="B601" s="1"/>
      <c r="C601" s="2"/>
      <c r="D601" s="1"/>
      <c r="E601" s="3"/>
      <c r="F601" s="3"/>
      <c r="G601" s="1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1"/>
      <c r="B602" s="1"/>
      <c r="C602" s="2"/>
      <c r="D602" s="1"/>
      <c r="E602" s="3"/>
      <c r="F602" s="3"/>
      <c r="G602" s="1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1"/>
      <c r="B603" s="1"/>
      <c r="C603" s="2"/>
      <c r="D603" s="1"/>
      <c r="E603" s="3"/>
      <c r="F603" s="3"/>
      <c r="G603" s="1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1"/>
      <c r="B604" s="1"/>
      <c r="C604" s="2"/>
      <c r="D604" s="1"/>
      <c r="E604" s="3"/>
      <c r="F604" s="3"/>
      <c r="G604" s="1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1"/>
      <c r="B605" s="1"/>
      <c r="C605" s="2"/>
      <c r="D605" s="1"/>
      <c r="E605" s="3"/>
      <c r="F605" s="3"/>
      <c r="G605" s="1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1"/>
      <c r="B606" s="1"/>
      <c r="C606" s="2"/>
      <c r="D606" s="1"/>
      <c r="E606" s="3"/>
      <c r="F606" s="3"/>
      <c r="G606" s="1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1"/>
      <c r="B607" s="1"/>
      <c r="C607" s="2"/>
      <c r="D607" s="1"/>
      <c r="E607" s="3"/>
      <c r="F607" s="3"/>
      <c r="G607" s="1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1"/>
      <c r="B608" s="1"/>
      <c r="C608" s="2"/>
      <c r="D608" s="1"/>
      <c r="E608" s="3"/>
      <c r="F608" s="3"/>
      <c r="G608" s="1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1"/>
      <c r="B609" s="1"/>
      <c r="C609" s="2"/>
      <c r="D609" s="1"/>
      <c r="E609" s="3"/>
      <c r="F609" s="3"/>
      <c r="G609" s="1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1"/>
      <c r="B610" s="1"/>
      <c r="C610" s="2"/>
      <c r="D610" s="1"/>
      <c r="E610" s="3"/>
      <c r="F610" s="3"/>
      <c r="G610" s="1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1"/>
      <c r="B611" s="1"/>
      <c r="C611" s="2"/>
      <c r="D611" s="1"/>
      <c r="E611" s="3"/>
      <c r="F611" s="3"/>
      <c r="G611" s="1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1"/>
      <c r="B612" s="1"/>
      <c r="C612" s="2"/>
      <c r="D612" s="1"/>
      <c r="E612" s="3"/>
      <c r="F612" s="3"/>
      <c r="G612" s="1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1"/>
      <c r="B613" s="1"/>
      <c r="C613" s="2"/>
      <c r="D613" s="1"/>
      <c r="E613" s="3"/>
      <c r="F613" s="3"/>
      <c r="G613" s="1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1"/>
      <c r="B614" s="1"/>
      <c r="C614" s="2"/>
      <c r="D614" s="1"/>
      <c r="E614" s="3"/>
      <c r="F614" s="3"/>
      <c r="G614" s="1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1"/>
      <c r="B615" s="1"/>
      <c r="C615" s="2"/>
      <c r="D615" s="1"/>
      <c r="E615" s="3"/>
      <c r="F615" s="3"/>
      <c r="G615" s="1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1"/>
      <c r="B616" s="1"/>
      <c r="C616" s="2"/>
      <c r="D616" s="1"/>
      <c r="E616" s="3"/>
      <c r="F616" s="3"/>
      <c r="G616" s="1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1"/>
      <c r="B617" s="1"/>
      <c r="C617" s="2"/>
      <c r="D617" s="1"/>
      <c r="E617" s="3"/>
      <c r="F617" s="3"/>
      <c r="G617" s="1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1"/>
      <c r="B618" s="1"/>
      <c r="C618" s="2"/>
      <c r="D618" s="1"/>
      <c r="E618" s="3"/>
      <c r="F618" s="3"/>
      <c r="G618" s="1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1"/>
      <c r="B619" s="1"/>
      <c r="C619" s="2"/>
      <c r="D619" s="1"/>
      <c r="E619" s="3"/>
      <c r="F619" s="3"/>
      <c r="G619" s="1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1"/>
      <c r="B620" s="1"/>
      <c r="C620" s="2"/>
      <c r="D620" s="1"/>
      <c r="E620" s="3"/>
      <c r="F620" s="3"/>
      <c r="G620" s="1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1"/>
      <c r="B621" s="1"/>
      <c r="C621" s="2"/>
      <c r="D621" s="1"/>
      <c r="E621" s="3"/>
      <c r="F621" s="3"/>
      <c r="G621" s="1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1"/>
      <c r="B622" s="1"/>
      <c r="C622" s="2"/>
      <c r="D622" s="1"/>
      <c r="E622" s="3"/>
      <c r="F622" s="3"/>
      <c r="G622" s="1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1"/>
      <c r="B623" s="1"/>
      <c r="C623" s="2"/>
      <c r="D623" s="1"/>
      <c r="E623" s="3"/>
      <c r="F623" s="3"/>
      <c r="G623" s="1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1"/>
      <c r="B624" s="1"/>
      <c r="C624" s="2"/>
      <c r="D624" s="1"/>
      <c r="E624" s="3"/>
      <c r="F624" s="3"/>
      <c r="G624" s="1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1"/>
      <c r="B625" s="1"/>
      <c r="C625" s="2"/>
      <c r="D625" s="1"/>
      <c r="E625" s="3"/>
      <c r="F625" s="3"/>
      <c r="G625" s="1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1"/>
      <c r="B626" s="1"/>
      <c r="C626" s="2"/>
      <c r="D626" s="1"/>
      <c r="E626" s="3"/>
      <c r="F626" s="3"/>
      <c r="G626" s="1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1"/>
      <c r="B627" s="1"/>
      <c r="C627" s="2"/>
      <c r="D627" s="1"/>
      <c r="E627" s="3"/>
      <c r="F627" s="3"/>
      <c r="G627" s="1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1"/>
      <c r="B628" s="1"/>
      <c r="C628" s="2"/>
      <c r="D628" s="1"/>
      <c r="E628" s="3"/>
      <c r="F628" s="3"/>
      <c r="G628" s="1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1"/>
      <c r="B629" s="1"/>
      <c r="C629" s="2"/>
      <c r="D629" s="1"/>
      <c r="E629" s="3"/>
      <c r="F629" s="3"/>
      <c r="G629" s="1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1"/>
      <c r="B630" s="1"/>
      <c r="C630" s="2"/>
      <c r="D630" s="1"/>
      <c r="E630" s="3"/>
      <c r="F630" s="3"/>
      <c r="G630" s="1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1"/>
      <c r="B631" s="1"/>
      <c r="C631" s="2"/>
      <c r="D631" s="1"/>
      <c r="E631" s="3"/>
      <c r="F631" s="3"/>
      <c r="G631" s="1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1"/>
      <c r="B632" s="1"/>
      <c r="C632" s="2"/>
      <c r="D632" s="1"/>
      <c r="E632" s="3"/>
      <c r="F632" s="3"/>
      <c r="G632" s="1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1"/>
      <c r="B633" s="1"/>
      <c r="C633" s="2"/>
      <c r="D633" s="1"/>
      <c r="E633" s="3"/>
      <c r="F633" s="3"/>
      <c r="G633" s="1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1"/>
      <c r="B634" s="1"/>
      <c r="C634" s="2"/>
      <c r="D634" s="1"/>
      <c r="E634" s="3"/>
      <c r="F634" s="3"/>
      <c r="G634" s="1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1"/>
      <c r="B635" s="1"/>
      <c r="C635" s="2"/>
      <c r="D635" s="1"/>
      <c r="E635" s="3"/>
      <c r="F635" s="3"/>
      <c r="G635" s="1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1"/>
      <c r="B636" s="1"/>
      <c r="C636" s="2"/>
      <c r="D636" s="1"/>
      <c r="E636" s="3"/>
      <c r="F636" s="3"/>
      <c r="G636" s="1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1"/>
      <c r="B637" s="1"/>
      <c r="C637" s="2"/>
      <c r="D637" s="1"/>
      <c r="E637" s="3"/>
      <c r="F637" s="3"/>
      <c r="G637" s="1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1"/>
      <c r="B638" s="1"/>
      <c r="C638" s="2"/>
      <c r="D638" s="1"/>
      <c r="E638" s="3"/>
      <c r="F638" s="3"/>
      <c r="G638" s="1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1"/>
      <c r="B639" s="1"/>
      <c r="C639" s="2"/>
      <c r="D639" s="1"/>
      <c r="E639" s="3"/>
      <c r="F639" s="3"/>
      <c r="G639" s="1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1"/>
      <c r="B640" s="1"/>
      <c r="C640" s="2"/>
      <c r="D640" s="1"/>
      <c r="E640" s="3"/>
      <c r="F640" s="3"/>
      <c r="G640" s="1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1"/>
      <c r="B641" s="1"/>
      <c r="C641" s="2"/>
      <c r="D641" s="1"/>
      <c r="E641" s="3"/>
      <c r="F641" s="3"/>
      <c r="G641" s="1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1"/>
      <c r="B642" s="1"/>
      <c r="C642" s="2"/>
      <c r="D642" s="1"/>
      <c r="E642" s="3"/>
      <c r="F642" s="3"/>
      <c r="G642" s="1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1"/>
      <c r="B643" s="1"/>
      <c r="C643" s="2"/>
      <c r="D643" s="1"/>
      <c r="E643" s="3"/>
      <c r="F643" s="3"/>
      <c r="G643" s="1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1"/>
      <c r="B644" s="1"/>
      <c r="C644" s="2"/>
      <c r="D644" s="1"/>
      <c r="E644" s="3"/>
      <c r="F644" s="3"/>
      <c r="G644" s="1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1"/>
      <c r="B645" s="1"/>
      <c r="C645" s="2"/>
      <c r="D645" s="1"/>
      <c r="E645" s="3"/>
      <c r="F645" s="3"/>
      <c r="G645" s="1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1"/>
      <c r="B646" s="1"/>
      <c r="C646" s="2"/>
      <c r="D646" s="1"/>
      <c r="E646" s="3"/>
      <c r="F646" s="3"/>
      <c r="G646" s="1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1"/>
      <c r="B647" s="1"/>
      <c r="C647" s="2"/>
      <c r="D647" s="1"/>
      <c r="E647" s="3"/>
      <c r="F647" s="3"/>
      <c r="G647" s="1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1"/>
      <c r="B648" s="1"/>
      <c r="C648" s="2"/>
      <c r="D648" s="1"/>
      <c r="E648" s="3"/>
      <c r="F648" s="3"/>
      <c r="G648" s="1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1"/>
      <c r="B649" s="1"/>
      <c r="C649" s="2"/>
      <c r="D649" s="1"/>
      <c r="E649" s="3"/>
      <c r="F649" s="3"/>
      <c r="G649" s="1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1"/>
      <c r="B650" s="1"/>
      <c r="C650" s="2"/>
      <c r="D650" s="1"/>
      <c r="E650" s="3"/>
      <c r="F650" s="3"/>
      <c r="G650" s="1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1"/>
      <c r="B651" s="1"/>
      <c r="C651" s="2"/>
      <c r="D651" s="1"/>
      <c r="E651" s="3"/>
      <c r="F651" s="3"/>
      <c r="G651" s="1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1"/>
      <c r="B652" s="1"/>
      <c r="C652" s="2"/>
      <c r="D652" s="1"/>
      <c r="E652" s="3"/>
      <c r="F652" s="3"/>
      <c r="G652" s="1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1"/>
      <c r="B653" s="1"/>
      <c r="C653" s="2"/>
      <c r="D653" s="1"/>
      <c r="E653" s="3"/>
      <c r="F653" s="3"/>
      <c r="G653" s="1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1"/>
      <c r="B654" s="1"/>
      <c r="C654" s="2"/>
      <c r="D654" s="1"/>
      <c r="E654" s="3"/>
      <c r="F654" s="3"/>
      <c r="G654" s="1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1"/>
      <c r="B655" s="1"/>
      <c r="C655" s="2"/>
      <c r="D655" s="1"/>
      <c r="E655" s="3"/>
      <c r="F655" s="3"/>
      <c r="G655" s="1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1"/>
      <c r="B656" s="1"/>
      <c r="C656" s="2"/>
      <c r="D656" s="1"/>
      <c r="E656" s="3"/>
      <c r="F656" s="3"/>
      <c r="G656" s="1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1"/>
      <c r="B657" s="1"/>
      <c r="C657" s="2"/>
      <c r="D657" s="1"/>
      <c r="E657" s="3"/>
      <c r="F657" s="3"/>
      <c r="G657" s="1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1"/>
      <c r="B658" s="1"/>
      <c r="C658" s="2"/>
      <c r="D658" s="1"/>
      <c r="E658" s="3"/>
      <c r="F658" s="3"/>
      <c r="G658" s="1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1"/>
      <c r="B659" s="1"/>
      <c r="C659" s="2"/>
      <c r="D659" s="1"/>
      <c r="E659" s="3"/>
      <c r="F659" s="3"/>
      <c r="G659" s="1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1"/>
      <c r="B660" s="1"/>
      <c r="C660" s="2"/>
      <c r="D660" s="1"/>
      <c r="E660" s="3"/>
      <c r="F660" s="3"/>
      <c r="G660" s="1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1"/>
      <c r="B661" s="1"/>
      <c r="C661" s="2"/>
      <c r="D661" s="1"/>
      <c r="E661" s="3"/>
      <c r="F661" s="3"/>
      <c r="G661" s="1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1"/>
      <c r="B662" s="1"/>
      <c r="C662" s="2"/>
      <c r="D662" s="1"/>
      <c r="E662" s="3"/>
      <c r="F662" s="3"/>
      <c r="G662" s="1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1"/>
      <c r="B663" s="1"/>
      <c r="C663" s="2"/>
      <c r="D663" s="1"/>
      <c r="E663" s="3"/>
      <c r="F663" s="3"/>
      <c r="G663" s="1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1"/>
      <c r="B664" s="1"/>
      <c r="C664" s="2"/>
      <c r="D664" s="1"/>
      <c r="E664" s="3"/>
      <c r="F664" s="3"/>
      <c r="G664" s="1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1"/>
      <c r="B665" s="1"/>
      <c r="C665" s="2"/>
      <c r="D665" s="1"/>
      <c r="E665" s="3"/>
      <c r="F665" s="3"/>
      <c r="G665" s="1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1"/>
      <c r="B666" s="1"/>
      <c r="C666" s="2"/>
      <c r="D666" s="1"/>
      <c r="E666" s="3"/>
      <c r="F666" s="3"/>
      <c r="G666" s="1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1"/>
      <c r="B667" s="1"/>
      <c r="C667" s="2"/>
      <c r="D667" s="1"/>
      <c r="E667" s="3"/>
      <c r="F667" s="3"/>
      <c r="G667" s="1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1"/>
      <c r="B668" s="1"/>
      <c r="C668" s="2"/>
      <c r="D668" s="1"/>
      <c r="E668" s="3"/>
      <c r="F668" s="3"/>
      <c r="G668" s="1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1"/>
      <c r="B669" s="1"/>
      <c r="C669" s="2"/>
      <c r="D669" s="1"/>
      <c r="E669" s="3"/>
      <c r="F669" s="3"/>
      <c r="G669" s="1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1"/>
      <c r="B670" s="1"/>
      <c r="C670" s="2"/>
      <c r="D670" s="1"/>
      <c r="E670" s="3"/>
      <c r="F670" s="3"/>
      <c r="G670" s="1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1"/>
      <c r="B671" s="1"/>
      <c r="C671" s="2"/>
      <c r="D671" s="1"/>
      <c r="E671" s="3"/>
      <c r="F671" s="3"/>
      <c r="G671" s="1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1"/>
      <c r="B672" s="1"/>
      <c r="C672" s="2"/>
      <c r="D672" s="1"/>
      <c r="E672" s="3"/>
      <c r="F672" s="3"/>
      <c r="G672" s="1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1"/>
      <c r="B673" s="1"/>
      <c r="C673" s="2"/>
      <c r="D673" s="1"/>
      <c r="E673" s="3"/>
      <c r="F673" s="3"/>
      <c r="G673" s="1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1"/>
      <c r="B674" s="1"/>
      <c r="C674" s="2"/>
      <c r="D674" s="1"/>
      <c r="E674" s="3"/>
      <c r="F674" s="3"/>
      <c r="G674" s="1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1"/>
      <c r="B675" s="1"/>
      <c r="C675" s="2"/>
      <c r="D675" s="1"/>
      <c r="E675" s="3"/>
      <c r="F675" s="3"/>
      <c r="G675" s="1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1"/>
      <c r="B676" s="1"/>
      <c r="C676" s="2"/>
      <c r="D676" s="1"/>
      <c r="E676" s="3"/>
      <c r="F676" s="3"/>
      <c r="G676" s="1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1"/>
      <c r="B677" s="1"/>
      <c r="C677" s="2"/>
      <c r="D677" s="1"/>
      <c r="E677" s="3"/>
      <c r="F677" s="3"/>
      <c r="G677" s="1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1"/>
      <c r="B678" s="1"/>
      <c r="C678" s="2"/>
      <c r="D678" s="1"/>
      <c r="E678" s="3"/>
      <c r="F678" s="3"/>
      <c r="G678" s="1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1"/>
      <c r="B679" s="1"/>
      <c r="C679" s="2"/>
      <c r="D679" s="1"/>
      <c r="E679" s="3"/>
      <c r="F679" s="3"/>
      <c r="G679" s="1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1"/>
      <c r="B680" s="1"/>
      <c r="C680" s="2"/>
      <c r="D680" s="1"/>
      <c r="E680" s="3"/>
      <c r="F680" s="3"/>
      <c r="G680" s="1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1"/>
      <c r="B681" s="1"/>
      <c r="C681" s="2"/>
      <c r="D681" s="1"/>
      <c r="E681" s="3"/>
      <c r="F681" s="3"/>
      <c r="G681" s="1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1"/>
      <c r="B682" s="1"/>
      <c r="C682" s="2"/>
      <c r="D682" s="1"/>
      <c r="E682" s="3"/>
      <c r="F682" s="3"/>
      <c r="G682" s="1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1"/>
      <c r="B683" s="1"/>
      <c r="C683" s="2"/>
      <c r="D683" s="1"/>
      <c r="E683" s="3"/>
      <c r="F683" s="3"/>
      <c r="G683" s="1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1"/>
      <c r="B684" s="1"/>
      <c r="C684" s="2"/>
      <c r="D684" s="1"/>
      <c r="E684" s="3"/>
      <c r="F684" s="3"/>
      <c r="G684" s="1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1"/>
      <c r="B685" s="1"/>
      <c r="C685" s="2"/>
      <c r="D685" s="1"/>
      <c r="E685" s="3"/>
      <c r="F685" s="3"/>
      <c r="G685" s="1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1"/>
      <c r="B686" s="1"/>
      <c r="C686" s="2"/>
      <c r="D686" s="1"/>
      <c r="E686" s="3"/>
      <c r="F686" s="3"/>
      <c r="G686" s="1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1"/>
      <c r="B687" s="1"/>
      <c r="C687" s="2"/>
      <c r="D687" s="1"/>
      <c r="E687" s="3"/>
      <c r="F687" s="3"/>
      <c r="G687" s="1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1"/>
      <c r="B688" s="1"/>
      <c r="C688" s="2"/>
      <c r="D688" s="1"/>
      <c r="E688" s="3"/>
      <c r="F688" s="3"/>
      <c r="G688" s="1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1"/>
      <c r="B689" s="1"/>
      <c r="C689" s="2"/>
      <c r="D689" s="1"/>
      <c r="E689" s="3"/>
      <c r="F689" s="3"/>
      <c r="G689" s="1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1"/>
      <c r="B690" s="1"/>
      <c r="C690" s="2"/>
      <c r="D690" s="1"/>
      <c r="E690" s="3"/>
      <c r="F690" s="3"/>
      <c r="G690" s="1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1"/>
      <c r="B691" s="1"/>
      <c r="C691" s="2"/>
      <c r="D691" s="1"/>
      <c r="E691" s="3"/>
      <c r="F691" s="3"/>
      <c r="G691" s="1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1"/>
      <c r="B692" s="1"/>
      <c r="C692" s="2"/>
      <c r="D692" s="1"/>
      <c r="E692" s="3"/>
      <c r="F692" s="3"/>
      <c r="G692" s="1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1"/>
      <c r="B693" s="1"/>
      <c r="C693" s="2"/>
      <c r="D693" s="1"/>
      <c r="E693" s="3"/>
      <c r="F693" s="3"/>
      <c r="G693" s="1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1"/>
      <c r="B694" s="1"/>
      <c r="C694" s="2"/>
      <c r="D694" s="1"/>
      <c r="E694" s="3"/>
      <c r="F694" s="3"/>
      <c r="G694" s="1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1"/>
      <c r="B695" s="1"/>
      <c r="C695" s="2"/>
      <c r="D695" s="1"/>
      <c r="E695" s="3"/>
      <c r="F695" s="3"/>
      <c r="G695" s="1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1"/>
      <c r="B696" s="1"/>
      <c r="C696" s="2"/>
      <c r="D696" s="1"/>
      <c r="E696" s="3"/>
      <c r="F696" s="3"/>
      <c r="G696" s="1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1"/>
      <c r="B697" s="1"/>
      <c r="C697" s="2"/>
      <c r="D697" s="1"/>
      <c r="E697" s="3"/>
      <c r="F697" s="3"/>
      <c r="G697" s="1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1"/>
      <c r="B698" s="1"/>
      <c r="C698" s="2"/>
      <c r="D698" s="1"/>
      <c r="E698" s="3"/>
      <c r="F698" s="3"/>
      <c r="G698" s="1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1"/>
      <c r="B699" s="1"/>
      <c r="C699" s="2"/>
      <c r="D699" s="1"/>
      <c r="E699" s="3"/>
      <c r="F699" s="3"/>
      <c r="G699" s="1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1"/>
      <c r="B700" s="1"/>
      <c r="C700" s="2"/>
      <c r="D700" s="1"/>
      <c r="E700" s="3"/>
      <c r="F700" s="3"/>
      <c r="G700" s="1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1"/>
      <c r="B701" s="1"/>
      <c r="C701" s="2"/>
      <c r="D701" s="1"/>
      <c r="E701" s="3"/>
      <c r="F701" s="3"/>
      <c r="G701" s="1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1"/>
      <c r="B702" s="1"/>
      <c r="C702" s="2"/>
      <c r="D702" s="1"/>
      <c r="E702" s="3"/>
      <c r="F702" s="3"/>
      <c r="G702" s="1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1"/>
      <c r="B703" s="1"/>
      <c r="C703" s="2"/>
      <c r="D703" s="1"/>
      <c r="E703" s="3"/>
      <c r="F703" s="3"/>
      <c r="G703" s="1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1"/>
      <c r="B704" s="1"/>
      <c r="C704" s="2"/>
      <c r="D704" s="1"/>
      <c r="E704" s="3"/>
      <c r="F704" s="3"/>
      <c r="G704" s="1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1"/>
      <c r="B705" s="1"/>
      <c r="C705" s="2"/>
      <c r="D705" s="1"/>
      <c r="E705" s="3"/>
      <c r="F705" s="3"/>
      <c r="G705" s="1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1"/>
      <c r="B706" s="1"/>
      <c r="C706" s="2"/>
      <c r="D706" s="1"/>
      <c r="E706" s="3"/>
      <c r="F706" s="3"/>
      <c r="G706" s="1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1"/>
      <c r="B707" s="1"/>
      <c r="C707" s="2"/>
      <c r="D707" s="1"/>
      <c r="E707" s="3"/>
      <c r="F707" s="3"/>
      <c r="G707" s="1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1"/>
      <c r="B708" s="1"/>
      <c r="C708" s="2"/>
      <c r="D708" s="1"/>
      <c r="E708" s="3"/>
      <c r="F708" s="3"/>
      <c r="G708" s="1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1"/>
      <c r="B709" s="1"/>
      <c r="C709" s="2"/>
      <c r="D709" s="1"/>
      <c r="E709" s="3"/>
      <c r="F709" s="3"/>
      <c r="G709" s="1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1"/>
      <c r="B710" s="1"/>
      <c r="C710" s="2"/>
      <c r="D710" s="1"/>
      <c r="E710" s="3"/>
      <c r="F710" s="3"/>
      <c r="G710" s="1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1"/>
      <c r="B711" s="1"/>
      <c r="C711" s="2"/>
      <c r="D711" s="1"/>
      <c r="E711" s="3"/>
      <c r="F711" s="3"/>
      <c r="G711" s="1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1"/>
      <c r="B712" s="1"/>
      <c r="C712" s="2"/>
      <c r="D712" s="1"/>
      <c r="E712" s="3"/>
      <c r="F712" s="3"/>
      <c r="G712" s="1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1"/>
      <c r="B713" s="1"/>
      <c r="C713" s="2"/>
      <c r="D713" s="1"/>
      <c r="E713" s="3"/>
      <c r="F713" s="3"/>
      <c r="G713" s="1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1"/>
      <c r="B714" s="1"/>
      <c r="C714" s="2"/>
      <c r="D714" s="1"/>
      <c r="E714" s="3"/>
      <c r="F714" s="3"/>
      <c r="G714" s="1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1"/>
      <c r="B715" s="1"/>
      <c r="C715" s="2"/>
      <c r="D715" s="1"/>
      <c r="E715" s="3"/>
      <c r="F715" s="3"/>
      <c r="G715" s="1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1"/>
      <c r="B716" s="1"/>
      <c r="C716" s="2"/>
      <c r="D716" s="1"/>
      <c r="E716" s="3"/>
      <c r="F716" s="3"/>
      <c r="G716" s="1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1"/>
      <c r="B717" s="1"/>
      <c r="C717" s="2"/>
      <c r="D717" s="1"/>
      <c r="E717" s="3"/>
      <c r="F717" s="3"/>
      <c r="G717" s="1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1"/>
      <c r="B718" s="1"/>
      <c r="C718" s="2"/>
      <c r="D718" s="1"/>
      <c r="E718" s="3"/>
      <c r="F718" s="3"/>
      <c r="G718" s="1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1"/>
      <c r="B719" s="1"/>
      <c r="C719" s="2"/>
      <c r="D719" s="1"/>
      <c r="E719" s="3"/>
      <c r="F719" s="3"/>
      <c r="G719" s="1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1"/>
      <c r="B720" s="1"/>
      <c r="C720" s="2"/>
      <c r="D720" s="1"/>
      <c r="E720" s="3"/>
      <c r="F720" s="3"/>
      <c r="G720" s="1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1"/>
      <c r="B721" s="1"/>
      <c r="C721" s="2"/>
      <c r="D721" s="1"/>
      <c r="E721" s="3"/>
      <c r="F721" s="3"/>
      <c r="G721" s="1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1"/>
      <c r="B722" s="1"/>
      <c r="C722" s="2"/>
      <c r="D722" s="1"/>
      <c r="E722" s="3"/>
      <c r="F722" s="3"/>
      <c r="G722" s="1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1"/>
      <c r="B723" s="1"/>
      <c r="C723" s="2"/>
      <c r="D723" s="1"/>
      <c r="E723" s="3"/>
      <c r="F723" s="3"/>
      <c r="G723" s="1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1"/>
      <c r="B724" s="1"/>
      <c r="C724" s="2"/>
      <c r="D724" s="1"/>
      <c r="E724" s="3"/>
      <c r="F724" s="3"/>
      <c r="G724" s="1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1"/>
      <c r="B725" s="1"/>
      <c r="C725" s="2"/>
      <c r="D725" s="1"/>
      <c r="E725" s="3"/>
      <c r="F725" s="3"/>
      <c r="G725" s="1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1"/>
      <c r="B726" s="1"/>
      <c r="C726" s="2"/>
      <c r="D726" s="1"/>
      <c r="E726" s="3"/>
      <c r="F726" s="3"/>
      <c r="G726" s="1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1"/>
      <c r="B727" s="1"/>
      <c r="C727" s="2"/>
      <c r="D727" s="1"/>
      <c r="E727" s="3"/>
      <c r="F727" s="3"/>
      <c r="G727" s="1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1"/>
      <c r="B728" s="1"/>
      <c r="C728" s="2"/>
      <c r="D728" s="1"/>
      <c r="E728" s="3"/>
      <c r="F728" s="3"/>
      <c r="G728" s="1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1"/>
      <c r="B729" s="1"/>
      <c r="C729" s="2"/>
      <c r="D729" s="1"/>
      <c r="E729" s="3"/>
      <c r="F729" s="3"/>
      <c r="G729" s="1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1"/>
      <c r="B730" s="1"/>
      <c r="C730" s="2"/>
      <c r="D730" s="1"/>
      <c r="E730" s="3"/>
      <c r="F730" s="3"/>
      <c r="G730" s="1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1"/>
      <c r="B731" s="1"/>
      <c r="C731" s="2"/>
      <c r="D731" s="1"/>
      <c r="E731" s="3"/>
      <c r="F731" s="3"/>
      <c r="G731" s="1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1"/>
      <c r="B732" s="1"/>
      <c r="C732" s="2"/>
      <c r="D732" s="1"/>
      <c r="E732" s="3"/>
      <c r="F732" s="3"/>
      <c r="G732" s="1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1"/>
      <c r="B733" s="1"/>
      <c r="C733" s="2"/>
      <c r="D733" s="1"/>
      <c r="E733" s="3"/>
      <c r="F733" s="3"/>
      <c r="G733" s="1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1"/>
      <c r="B734" s="1"/>
      <c r="C734" s="2"/>
      <c r="D734" s="1"/>
      <c r="E734" s="3"/>
      <c r="F734" s="3"/>
      <c r="G734" s="1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1"/>
      <c r="B735" s="1"/>
      <c r="C735" s="2"/>
      <c r="D735" s="1"/>
      <c r="E735" s="3"/>
      <c r="F735" s="3"/>
      <c r="G735" s="1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1"/>
      <c r="B736" s="1"/>
      <c r="C736" s="2"/>
      <c r="D736" s="1"/>
      <c r="E736" s="3"/>
      <c r="F736" s="3"/>
      <c r="G736" s="1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1"/>
      <c r="B737" s="1"/>
      <c r="C737" s="2"/>
      <c r="D737" s="1"/>
      <c r="E737" s="3"/>
      <c r="F737" s="3"/>
      <c r="G737" s="1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1"/>
      <c r="B738" s="1"/>
      <c r="C738" s="2"/>
      <c r="D738" s="1"/>
      <c r="E738" s="3"/>
      <c r="F738" s="3"/>
      <c r="G738" s="1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1"/>
      <c r="B739" s="1"/>
      <c r="C739" s="2"/>
      <c r="D739" s="1"/>
      <c r="E739" s="3"/>
      <c r="F739" s="3"/>
      <c r="G739" s="1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1"/>
      <c r="B740" s="1"/>
      <c r="C740" s="2"/>
      <c r="D740" s="1"/>
      <c r="E740" s="3"/>
      <c r="F740" s="3"/>
      <c r="G740" s="1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1"/>
      <c r="B741" s="1"/>
      <c r="C741" s="2"/>
      <c r="D741" s="1"/>
      <c r="E741" s="3"/>
      <c r="F741" s="3"/>
      <c r="G741" s="1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1"/>
      <c r="B742" s="1"/>
      <c r="C742" s="2"/>
      <c r="D742" s="1"/>
      <c r="E742" s="3"/>
      <c r="F742" s="3"/>
      <c r="G742" s="1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1"/>
      <c r="B743" s="1"/>
      <c r="C743" s="2"/>
      <c r="D743" s="1"/>
      <c r="E743" s="3"/>
      <c r="F743" s="3"/>
      <c r="G743" s="1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1"/>
      <c r="B744" s="1"/>
      <c r="C744" s="2"/>
      <c r="D744" s="1"/>
      <c r="E744" s="3"/>
      <c r="F744" s="3"/>
      <c r="G744" s="1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1"/>
      <c r="B745" s="1"/>
      <c r="C745" s="2"/>
      <c r="D745" s="1"/>
      <c r="E745" s="3"/>
      <c r="F745" s="3"/>
      <c r="G745" s="1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1"/>
      <c r="B746" s="1"/>
      <c r="C746" s="2"/>
      <c r="D746" s="1"/>
      <c r="E746" s="3"/>
      <c r="F746" s="3"/>
      <c r="G746" s="1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1"/>
      <c r="B747" s="1"/>
      <c r="C747" s="2"/>
      <c r="D747" s="1"/>
      <c r="E747" s="3"/>
      <c r="F747" s="3"/>
      <c r="G747" s="1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1"/>
      <c r="B748" s="1"/>
      <c r="C748" s="2"/>
      <c r="D748" s="1"/>
      <c r="E748" s="3"/>
      <c r="F748" s="3"/>
      <c r="G748" s="1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1"/>
      <c r="B749" s="1"/>
      <c r="C749" s="2"/>
      <c r="D749" s="1"/>
      <c r="E749" s="3"/>
      <c r="F749" s="3"/>
      <c r="G749" s="1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1"/>
      <c r="B750" s="1"/>
      <c r="C750" s="2"/>
      <c r="D750" s="1"/>
      <c r="E750" s="3"/>
      <c r="F750" s="3"/>
      <c r="G750" s="1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1"/>
      <c r="B751" s="1"/>
      <c r="C751" s="2"/>
      <c r="D751" s="1"/>
      <c r="E751" s="3"/>
      <c r="F751" s="3"/>
      <c r="G751" s="1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1"/>
      <c r="B752" s="1"/>
      <c r="C752" s="2"/>
      <c r="D752" s="1"/>
      <c r="E752" s="3"/>
      <c r="F752" s="3"/>
      <c r="G752" s="1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1"/>
      <c r="B753" s="1"/>
      <c r="C753" s="2"/>
      <c r="D753" s="1"/>
      <c r="E753" s="3"/>
      <c r="F753" s="3"/>
      <c r="G753" s="1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1"/>
      <c r="B754" s="1"/>
      <c r="C754" s="2"/>
      <c r="D754" s="1"/>
      <c r="E754" s="3"/>
      <c r="F754" s="3"/>
      <c r="G754" s="1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1"/>
      <c r="B755" s="1"/>
      <c r="C755" s="2"/>
      <c r="D755" s="1"/>
      <c r="E755" s="3"/>
      <c r="F755" s="3"/>
      <c r="G755" s="1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1"/>
      <c r="B756" s="1"/>
      <c r="C756" s="2"/>
      <c r="D756" s="1"/>
      <c r="E756" s="3"/>
      <c r="F756" s="3"/>
      <c r="G756" s="1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1"/>
      <c r="B757" s="1"/>
      <c r="C757" s="2"/>
      <c r="D757" s="1"/>
      <c r="E757" s="3"/>
      <c r="F757" s="3"/>
      <c r="G757" s="1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1"/>
      <c r="B758" s="1"/>
      <c r="C758" s="2"/>
      <c r="D758" s="1"/>
      <c r="E758" s="3"/>
      <c r="F758" s="3"/>
      <c r="G758" s="1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1"/>
      <c r="B759" s="1"/>
      <c r="C759" s="2"/>
      <c r="D759" s="1"/>
      <c r="E759" s="3"/>
      <c r="F759" s="3"/>
      <c r="G759" s="1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1"/>
      <c r="B760" s="1"/>
      <c r="C760" s="2"/>
      <c r="D760" s="1"/>
      <c r="E760" s="3"/>
      <c r="F760" s="3"/>
      <c r="G760" s="1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1"/>
      <c r="B761" s="1"/>
      <c r="C761" s="2"/>
      <c r="D761" s="1"/>
      <c r="E761" s="3"/>
      <c r="F761" s="3"/>
      <c r="G761" s="1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1"/>
      <c r="B762" s="1"/>
      <c r="C762" s="2"/>
      <c r="D762" s="1"/>
      <c r="E762" s="3"/>
      <c r="F762" s="3"/>
      <c r="G762" s="1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1"/>
      <c r="B763" s="1"/>
      <c r="C763" s="2"/>
      <c r="D763" s="1"/>
      <c r="E763" s="3"/>
      <c r="F763" s="3"/>
      <c r="G763" s="1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1"/>
      <c r="B764" s="1"/>
      <c r="C764" s="2"/>
      <c r="D764" s="1"/>
      <c r="E764" s="3"/>
      <c r="F764" s="3"/>
      <c r="G764" s="1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1"/>
      <c r="B765" s="1"/>
      <c r="C765" s="2"/>
      <c r="D765" s="1"/>
      <c r="E765" s="3"/>
      <c r="F765" s="3"/>
      <c r="G765" s="1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1"/>
      <c r="B766" s="1"/>
      <c r="C766" s="2"/>
      <c r="D766" s="1"/>
      <c r="E766" s="3"/>
      <c r="F766" s="3"/>
      <c r="G766" s="1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1"/>
      <c r="B767" s="1"/>
      <c r="C767" s="2"/>
      <c r="D767" s="1"/>
      <c r="E767" s="3"/>
      <c r="F767" s="3"/>
      <c r="G767" s="1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1"/>
      <c r="B768" s="1"/>
      <c r="C768" s="2"/>
      <c r="D768" s="1"/>
      <c r="E768" s="3"/>
      <c r="F768" s="3"/>
      <c r="G768" s="1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1"/>
      <c r="B769" s="1"/>
      <c r="C769" s="2"/>
      <c r="D769" s="1"/>
      <c r="E769" s="3"/>
      <c r="F769" s="3"/>
      <c r="G769" s="1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1"/>
      <c r="B770" s="1"/>
      <c r="C770" s="2"/>
      <c r="D770" s="1"/>
      <c r="E770" s="3"/>
      <c r="F770" s="3"/>
      <c r="G770" s="1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1"/>
      <c r="B771" s="1"/>
      <c r="C771" s="2"/>
      <c r="D771" s="1"/>
      <c r="E771" s="3"/>
      <c r="F771" s="3"/>
      <c r="G771" s="1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1"/>
      <c r="B772" s="1"/>
      <c r="C772" s="2"/>
      <c r="D772" s="1"/>
      <c r="E772" s="3"/>
      <c r="F772" s="3"/>
      <c r="G772" s="1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1"/>
      <c r="B773" s="1"/>
      <c r="C773" s="2"/>
      <c r="D773" s="1"/>
      <c r="E773" s="3"/>
      <c r="F773" s="3"/>
      <c r="G773" s="1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1"/>
      <c r="B774" s="1"/>
      <c r="C774" s="2"/>
      <c r="D774" s="1"/>
      <c r="E774" s="3"/>
      <c r="F774" s="3"/>
      <c r="G774" s="1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1"/>
      <c r="B775" s="1"/>
      <c r="C775" s="2"/>
      <c r="D775" s="1"/>
      <c r="E775" s="3"/>
      <c r="F775" s="3"/>
      <c r="G775" s="1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1"/>
      <c r="B776" s="1"/>
      <c r="C776" s="2"/>
      <c r="D776" s="1"/>
      <c r="E776" s="3"/>
      <c r="F776" s="3"/>
      <c r="G776" s="1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1"/>
      <c r="B777" s="1"/>
      <c r="C777" s="2"/>
      <c r="D777" s="1"/>
      <c r="E777" s="3"/>
      <c r="F777" s="3"/>
      <c r="G777" s="1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1"/>
      <c r="B778" s="1"/>
      <c r="C778" s="2"/>
      <c r="D778" s="1"/>
      <c r="E778" s="3"/>
      <c r="F778" s="3"/>
      <c r="G778" s="1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1"/>
      <c r="B779" s="1"/>
      <c r="C779" s="2"/>
      <c r="D779" s="1"/>
      <c r="E779" s="3"/>
      <c r="F779" s="3"/>
      <c r="G779" s="1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1"/>
      <c r="B780" s="1"/>
      <c r="C780" s="2"/>
      <c r="D780" s="1"/>
      <c r="E780" s="3"/>
      <c r="F780" s="3"/>
      <c r="G780" s="1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1"/>
      <c r="B781" s="1"/>
      <c r="C781" s="2"/>
      <c r="D781" s="1"/>
      <c r="E781" s="3"/>
      <c r="F781" s="3"/>
      <c r="G781" s="1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1"/>
      <c r="B782" s="1"/>
      <c r="C782" s="2"/>
      <c r="D782" s="1"/>
      <c r="E782" s="3"/>
      <c r="F782" s="3"/>
      <c r="G782" s="1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1"/>
      <c r="B783" s="1"/>
      <c r="C783" s="2"/>
      <c r="D783" s="1"/>
      <c r="E783" s="3"/>
      <c r="F783" s="3"/>
      <c r="G783" s="1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1"/>
      <c r="B784" s="1"/>
      <c r="C784" s="2"/>
      <c r="D784" s="1"/>
      <c r="E784" s="3"/>
      <c r="F784" s="3"/>
      <c r="G784" s="1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1"/>
      <c r="B785" s="1"/>
      <c r="C785" s="2"/>
      <c r="D785" s="1"/>
      <c r="E785" s="3"/>
      <c r="F785" s="3"/>
      <c r="G785" s="1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1"/>
      <c r="B786" s="1"/>
      <c r="C786" s="2"/>
      <c r="D786" s="1"/>
      <c r="E786" s="3"/>
      <c r="F786" s="3"/>
      <c r="G786" s="1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1"/>
      <c r="B787" s="1"/>
      <c r="C787" s="2"/>
      <c r="D787" s="1"/>
      <c r="E787" s="3"/>
      <c r="F787" s="3"/>
      <c r="G787" s="1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1"/>
      <c r="B788" s="1"/>
      <c r="C788" s="2"/>
      <c r="D788" s="1"/>
      <c r="E788" s="3"/>
      <c r="F788" s="3"/>
      <c r="G788" s="1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1"/>
      <c r="B789" s="1"/>
      <c r="C789" s="2"/>
      <c r="D789" s="1"/>
      <c r="E789" s="3"/>
      <c r="F789" s="3"/>
      <c r="G789" s="1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1"/>
      <c r="B790" s="1"/>
      <c r="C790" s="2"/>
      <c r="D790" s="1"/>
      <c r="E790" s="3"/>
      <c r="F790" s="3"/>
      <c r="G790" s="1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1"/>
      <c r="B791" s="1"/>
      <c r="C791" s="2"/>
      <c r="D791" s="1"/>
      <c r="E791" s="3"/>
      <c r="F791" s="3"/>
      <c r="G791" s="1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1"/>
      <c r="B792" s="1"/>
      <c r="C792" s="2"/>
      <c r="D792" s="1"/>
      <c r="E792" s="3"/>
      <c r="F792" s="3"/>
      <c r="G792" s="1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1"/>
      <c r="B793" s="1"/>
      <c r="C793" s="2"/>
      <c r="D793" s="1"/>
      <c r="E793" s="3"/>
      <c r="F793" s="3"/>
      <c r="G793" s="1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1"/>
      <c r="B794" s="1"/>
      <c r="C794" s="2"/>
      <c r="D794" s="1"/>
      <c r="E794" s="3"/>
      <c r="F794" s="3"/>
      <c r="G794" s="1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1"/>
      <c r="B795" s="1"/>
      <c r="C795" s="2"/>
      <c r="D795" s="1"/>
      <c r="E795" s="3"/>
      <c r="F795" s="3"/>
      <c r="G795" s="1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1"/>
      <c r="B796" s="1"/>
      <c r="C796" s="2"/>
      <c r="D796" s="1"/>
      <c r="E796" s="3"/>
      <c r="F796" s="3"/>
      <c r="G796" s="1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1"/>
      <c r="B797" s="1"/>
      <c r="C797" s="2"/>
      <c r="D797" s="1"/>
      <c r="E797" s="3"/>
      <c r="F797" s="3"/>
      <c r="G797" s="1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1"/>
      <c r="B798" s="1"/>
      <c r="C798" s="2"/>
      <c r="D798" s="1"/>
      <c r="E798" s="3"/>
      <c r="F798" s="3"/>
      <c r="G798" s="1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1"/>
      <c r="B799" s="1"/>
      <c r="C799" s="2"/>
      <c r="D799" s="1"/>
      <c r="E799" s="3"/>
      <c r="F799" s="3"/>
      <c r="G799" s="1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1"/>
      <c r="B800" s="1"/>
      <c r="C800" s="2"/>
      <c r="D800" s="1"/>
      <c r="E800" s="3"/>
      <c r="F800" s="3"/>
      <c r="G800" s="1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1"/>
      <c r="B801" s="1"/>
      <c r="C801" s="2"/>
      <c r="D801" s="1"/>
      <c r="E801" s="3"/>
      <c r="F801" s="3"/>
      <c r="G801" s="1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1"/>
      <c r="B802" s="1"/>
      <c r="C802" s="2"/>
      <c r="D802" s="1"/>
      <c r="E802" s="3"/>
      <c r="F802" s="3"/>
      <c r="G802" s="1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1"/>
      <c r="B803" s="1"/>
      <c r="C803" s="2"/>
      <c r="D803" s="1"/>
      <c r="E803" s="3"/>
      <c r="F803" s="3"/>
      <c r="G803" s="1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1"/>
      <c r="B804" s="1"/>
      <c r="C804" s="2"/>
      <c r="D804" s="1"/>
      <c r="E804" s="3"/>
      <c r="F804" s="3"/>
      <c r="G804" s="1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1"/>
      <c r="B805" s="1"/>
      <c r="C805" s="2"/>
      <c r="D805" s="1"/>
      <c r="E805" s="3"/>
      <c r="F805" s="3"/>
      <c r="G805" s="1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1"/>
      <c r="B806" s="1"/>
      <c r="C806" s="2"/>
      <c r="D806" s="1"/>
      <c r="E806" s="3"/>
      <c r="F806" s="3"/>
      <c r="G806" s="1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1"/>
      <c r="B807" s="1"/>
      <c r="C807" s="2"/>
      <c r="D807" s="1"/>
      <c r="E807" s="3"/>
      <c r="F807" s="3"/>
      <c r="G807" s="1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1"/>
      <c r="B808" s="1"/>
      <c r="C808" s="2"/>
      <c r="D808" s="1"/>
      <c r="E808" s="3"/>
      <c r="F808" s="3"/>
      <c r="G808" s="1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1"/>
      <c r="B809" s="1"/>
      <c r="C809" s="2"/>
      <c r="D809" s="1"/>
      <c r="E809" s="3"/>
      <c r="F809" s="3"/>
      <c r="G809" s="1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1"/>
      <c r="B810" s="1"/>
      <c r="C810" s="2"/>
      <c r="D810" s="1"/>
      <c r="E810" s="3"/>
      <c r="F810" s="3"/>
      <c r="G810" s="1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1"/>
      <c r="B811" s="1"/>
      <c r="C811" s="2"/>
      <c r="D811" s="1"/>
      <c r="E811" s="3"/>
      <c r="F811" s="3"/>
      <c r="G811" s="1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1"/>
      <c r="B812" s="1"/>
      <c r="C812" s="2"/>
      <c r="D812" s="1"/>
      <c r="E812" s="3"/>
      <c r="F812" s="3"/>
      <c r="G812" s="1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1"/>
      <c r="B813" s="1"/>
      <c r="C813" s="2"/>
      <c r="D813" s="1"/>
      <c r="E813" s="3"/>
      <c r="F813" s="3"/>
      <c r="G813" s="1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1"/>
      <c r="B814" s="1"/>
      <c r="C814" s="2"/>
      <c r="D814" s="1"/>
      <c r="E814" s="3"/>
      <c r="F814" s="3"/>
      <c r="G814" s="1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1"/>
      <c r="B815" s="1"/>
      <c r="C815" s="2"/>
      <c r="D815" s="1"/>
      <c r="E815" s="3"/>
      <c r="F815" s="3"/>
      <c r="G815" s="1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1"/>
      <c r="B816" s="1"/>
      <c r="C816" s="2"/>
      <c r="D816" s="1"/>
      <c r="E816" s="3"/>
      <c r="F816" s="3"/>
      <c r="G816" s="1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1"/>
      <c r="B817" s="1"/>
      <c r="C817" s="2"/>
      <c r="D817" s="1"/>
      <c r="E817" s="3"/>
      <c r="F817" s="3"/>
      <c r="G817" s="1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1"/>
      <c r="B818" s="1"/>
      <c r="C818" s="2"/>
      <c r="D818" s="1"/>
      <c r="E818" s="3"/>
      <c r="F818" s="3"/>
      <c r="G818" s="1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1"/>
      <c r="B819" s="1"/>
      <c r="C819" s="2"/>
      <c r="D819" s="1"/>
      <c r="E819" s="3"/>
      <c r="F819" s="3"/>
      <c r="G819" s="1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1"/>
      <c r="B820" s="1"/>
      <c r="C820" s="2"/>
      <c r="D820" s="1"/>
      <c r="E820" s="3"/>
      <c r="F820" s="3"/>
      <c r="G820" s="1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1"/>
      <c r="B821" s="1"/>
      <c r="C821" s="2"/>
      <c r="D821" s="1"/>
      <c r="E821" s="3"/>
      <c r="F821" s="3"/>
      <c r="G821" s="1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1"/>
      <c r="B822" s="1"/>
      <c r="C822" s="2"/>
      <c r="D822" s="1"/>
      <c r="E822" s="3"/>
      <c r="F822" s="3"/>
      <c r="G822" s="1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1"/>
      <c r="B823" s="1"/>
      <c r="C823" s="2"/>
      <c r="D823" s="1"/>
      <c r="E823" s="3"/>
      <c r="F823" s="3"/>
      <c r="G823" s="1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1"/>
      <c r="B824" s="1"/>
      <c r="C824" s="2"/>
      <c r="D824" s="1"/>
      <c r="E824" s="3"/>
      <c r="F824" s="3"/>
      <c r="G824" s="1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1"/>
      <c r="B825" s="1"/>
      <c r="C825" s="2"/>
      <c r="D825" s="1"/>
      <c r="E825" s="3"/>
      <c r="F825" s="3"/>
      <c r="G825" s="1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1"/>
      <c r="B826" s="1"/>
      <c r="C826" s="2"/>
      <c r="D826" s="1"/>
      <c r="E826" s="3"/>
      <c r="F826" s="3"/>
      <c r="G826" s="1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1"/>
      <c r="B827" s="1"/>
      <c r="C827" s="2"/>
      <c r="D827" s="1"/>
      <c r="E827" s="3"/>
      <c r="F827" s="3"/>
      <c r="G827" s="1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1"/>
      <c r="B828" s="1"/>
      <c r="C828" s="2"/>
      <c r="D828" s="1"/>
      <c r="E828" s="3"/>
      <c r="F828" s="3"/>
      <c r="G828" s="1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1"/>
      <c r="B829" s="1"/>
      <c r="C829" s="2"/>
      <c r="D829" s="1"/>
      <c r="E829" s="3"/>
      <c r="F829" s="3"/>
      <c r="G829" s="1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1"/>
      <c r="B830" s="1"/>
      <c r="C830" s="2"/>
      <c r="D830" s="1"/>
      <c r="E830" s="3"/>
      <c r="F830" s="3"/>
      <c r="G830" s="1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1"/>
      <c r="B831" s="1"/>
      <c r="C831" s="2"/>
      <c r="D831" s="1"/>
      <c r="E831" s="3"/>
      <c r="F831" s="3"/>
      <c r="G831" s="1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1"/>
      <c r="B832" s="1"/>
      <c r="C832" s="2"/>
      <c r="D832" s="1"/>
      <c r="E832" s="3"/>
      <c r="F832" s="3"/>
      <c r="G832" s="1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1"/>
      <c r="B833" s="1"/>
      <c r="C833" s="2"/>
      <c r="D833" s="1"/>
      <c r="E833" s="3"/>
      <c r="F833" s="3"/>
      <c r="G833" s="1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1"/>
      <c r="B834" s="1"/>
      <c r="C834" s="2"/>
      <c r="D834" s="1"/>
      <c r="E834" s="3"/>
      <c r="F834" s="3"/>
      <c r="G834" s="1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1"/>
      <c r="B835" s="1"/>
      <c r="C835" s="2"/>
      <c r="D835" s="1"/>
      <c r="E835" s="3"/>
      <c r="F835" s="3"/>
      <c r="G835" s="1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1"/>
      <c r="B836" s="1"/>
      <c r="C836" s="2"/>
      <c r="D836" s="1"/>
      <c r="E836" s="3"/>
      <c r="F836" s="3"/>
      <c r="G836" s="1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1"/>
      <c r="B837" s="1"/>
      <c r="C837" s="2"/>
      <c r="D837" s="1"/>
      <c r="E837" s="3"/>
      <c r="F837" s="3"/>
      <c r="G837" s="1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1"/>
      <c r="B838" s="1"/>
      <c r="C838" s="2"/>
      <c r="D838" s="1"/>
      <c r="E838" s="3"/>
      <c r="F838" s="3"/>
      <c r="G838" s="1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1"/>
      <c r="B839" s="1"/>
      <c r="C839" s="2"/>
      <c r="D839" s="1"/>
      <c r="E839" s="3"/>
      <c r="F839" s="3"/>
      <c r="G839" s="1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1"/>
      <c r="B840" s="1"/>
      <c r="C840" s="2"/>
      <c r="D840" s="1"/>
      <c r="E840" s="3"/>
      <c r="F840" s="3"/>
      <c r="G840" s="1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1"/>
      <c r="B841" s="1"/>
      <c r="C841" s="2"/>
      <c r="D841" s="1"/>
      <c r="E841" s="3"/>
      <c r="F841" s="3"/>
      <c r="G841" s="1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1"/>
      <c r="B842" s="1"/>
      <c r="C842" s="2"/>
      <c r="D842" s="1"/>
      <c r="E842" s="3"/>
      <c r="F842" s="3"/>
      <c r="G842" s="1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1"/>
      <c r="B843" s="1"/>
      <c r="C843" s="2"/>
      <c r="D843" s="1"/>
      <c r="E843" s="3"/>
      <c r="F843" s="3"/>
      <c r="G843" s="1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1"/>
      <c r="B844" s="1"/>
      <c r="C844" s="2"/>
      <c r="D844" s="1"/>
      <c r="E844" s="3"/>
      <c r="F844" s="3"/>
      <c r="G844" s="1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1"/>
      <c r="B845" s="1"/>
      <c r="C845" s="2"/>
      <c r="D845" s="1"/>
      <c r="E845" s="3"/>
      <c r="F845" s="3"/>
      <c r="G845" s="1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1"/>
      <c r="B846" s="1"/>
      <c r="C846" s="2"/>
      <c r="D846" s="1"/>
      <c r="E846" s="3"/>
      <c r="F846" s="3"/>
      <c r="G846" s="1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1"/>
      <c r="B847" s="1"/>
      <c r="C847" s="2"/>
      <c r="D847" s="1"/>
      <c r="E847" s="3"/>
      <c r="F847" s="3"/>
      <c r="G847" s="1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1"/>
      <c r="B848" s="1"/>
      <c r="C848" s="2"/>
      <c r="D848" s="1"/>
      <c r="E848" s="3"/>
      <c r="F848" s="3"/>
      <c r="G848" s="1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1"/>
      <c r="B849" s="1"/>
      <c r="C849" s="2"/>
      <c r="D849" s="1"/>
      <c r="E849" s="3"/>
      <c r="F849" s="3"/>
      <c r="G849" s="1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1"/>
      <c r="B850" s="1"/>
      <c r="C850" s="2"/>
      <c r="D850" s="1"/>
      <c r="E850" s="3"/>
      <c r="F850" s="3"/>
      <c r="G850" s="1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1"/>
      <c r="B851" s="1"/>
      <c r="C851" s="2"/>
      <c r="D851" s="1"/>
      <c r="E851" s="3"/>
      <c r="F851" s="3"/>
      <c r="G851" s="1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1"/>
      <c r="B852" s="1"/>
      <c r="C852" s="2"/>
      <c r="D852" s="1"/>
      <c r="E852" s="3"/>
      <c r="F852" s="3"/>
      <c r="G852" s="1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1"/>
      <c r="B853" s="1"/>
      <c r="C853" s="2"/>
      <c r="D853" s="1"/>
      <c r="E853" s="3"/>
      <c r="F853" s="3"/>
      <c r="G853" s="1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1"/>
      <c r="B854" s="1"/>
      <c r="C854" s="2"/>
      <c r="D854" s="1"/>
      <c r="E854" s="3"/>
      <c r="F854" s="3"/>
      <c r="G854" s="1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1"/>
      <c r="B855" s="1"/>
      <c r="C855" s="2"/>
      <c r="D855" s="1"/>
      <c r="E855" s="3"/>
      <c r="F855" s="3"/>
      <c r="G855" s="1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1"/>
      <c r="B856" s="1"/>
      <c r="C856" s="2"/>
      <c r="D856" s="1"/>
      <c r="E856" s="3"/>
      <c r="F856" s="3"/>
      <c r="G856" s="1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1"/>
      <c r="B857" s="1"/>
      <c r="C857" s="2"/>
      <c r="D857" s="1"/>
      <c r="E857" s="3"/>
      <c r="F857" s="3"/>
      <c r="G857" s="1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1"/>
      <c r="B858" s="1"/>
      <c r="C858" s="2"/>
      <c r="D858" s="1"/>
      <c r="E858" s="3"/>
      <c r="F858" s="3"/>
      <c r="G858" s="1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1"/>
      <c r="B859" s="1"/>
      <c r="C859" s="2"/>
      <c r="D859" s="1"/>
      <c r="E859" s="3"/>
      <c r="F859" s="3"/>
      <c r="G859" s="1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1"/>
      <c r="B860" s="1"/>
      <c r="C860" s="2"/>
      <c r="D860" s="1"/>
      <c r="E860" s="3"/>
      <c r="F860" s="3"/>
      <c r="G860" s="1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1"/>
      <c r="B861" s="1"/>
      <c r="C861" s="2"/>
      <c r="D861" s="1"/>
      <c r="E861" s="3"/>
      <c r="F861" s="3"/>
      <c r="G861" s="1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1"/>
      <c r="B862" s="1"/>
      <c r="C862" s="2"/>
      <c r="D862" s="1"/>
      <c r="E862" s="3"/>
      <c r="F862" s="3"/>
      <c r="G862" s="1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1"/>
      <c r="B863" s="1"/>
      <c r="C863" s="2"/>
      <c r="D863" s="1"/>
      <c r="E863" s="3"/>
      <c r="F863" s="3"/>
      <c r="G863" s="1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1"/>
      <c r="B864" s="1"/>
      <c r="C864" s="2"/>
      <c r="D864" s="1"/>
      <c r="E864" s="3"/>
      <c r="F864" s="3"/>
      <c r="G864" s="1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1"/>
      <c r="B865" s="1"/>
      <c r="C865" s="2"/>
      <c r="D865" s="1"/>
      <c r="E865" s="3"/>
      <c r="F865" s="3"/>
      <c r="G865" s="1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1"/>
      <c r="B866" s="1"/>
      <c r="C866" s="2"/>
      <c r="D866" s="1"/>
      <c r="E866" s="3"/>
      <c r="F866" s="3"/>
      <c r="G866" s="1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1"/>
      <c r="B867" s="1"/>
      <c r="C867" s="2"/>
      <c r="D867" s="1"/>
      <c r="E867" s="3"/>
      <c r="F867" s="3"/>
      <c r="G867" s="1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1"/>
      <c r="B868" s="1"/>
      <c r="C868" s="2"/>
      <c r="D868" s="1"/>
      <c r="E868" s="3"/>
      <c r="F868" s="3"/>
      <c r="G868" s="1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1"/>
      <c r="B869" s="1"/>
      <c r="C869" s="2"/>
      <c r="D869" s="1"/>
      <c r="E869" s="3"/>
      <c r="F869" s="3"/>
      <c r="G869" s="1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1"/>
      <c r="B870" s="1"/>
      <c r="C870" s="2"/>
      <c r="D870" s="1"/>
      <c r="E870" s="3"/>
      <c r="F870" s="3"/>
      <c r="G870" s="1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1"/>
      <c r="B871" s="1"/>
      <c r="C871" s="2"/>
      <c r="D871" s="1"/>
      <c r="E871" s="3"/>
      <c r="F871" s="3"/>
      <c r="G871" s="1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1"/>
      <c r="B872" s="1"/>
      <c r="C872" s="2"/>
      <c r="D872" s="1"/>
      <c r="E872" s="3"/>
      <c r="F872" s="3"/>
      <c r="G872" s="1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1"/>
      <c r="B873" s="1"/>
      <c r="C873" s="2"/>
      <c r="D873" s="1"/>
      <c r="E873" s="3"/>
      <c r="F873" s="3"/>
      <c r="G873" s="1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1"/>
      <c r="B874" s="1"/>
      <c r="C874" s="2"/>
      <c r="D874" s="1"/>
      <c r="E874" s="3"/>
      <c r="F874" s="3"/>
      <c r="G874" s="1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1"/>
      <c r="B875" s="1"/>
      <c r="C875" s="2"/>
      <c r="D875" s="1"/>
      <c r="E875" s="3"/>
      <c r="F875" s="3"/>
      <c r="G875" s="1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1"/>
      <c r="B876" s="1"/>
      <c r="C876" s="2"/>
      <c r="D876" s="1"/>
      <c r="E876" s="3"/>
      <c r="F876" s="3"/>
      <c r="G876" s="1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1"/>
      <c r="B877" s="1"/>
      <c r="C877" s="2"/>
      <c r="D877" s="1"/>
      <c r="E877" s="3"/>
      <c r="F877" s="3"/>
      <c r="G877" s="1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1"/>
      <c r="B878" s="1"/>
      <c r="C878" s="2"/>
      <c r="D878" s="1"/>
      <c r="E878" s="3"/>
      <c r="F878" s="3"/>
      <c r="G878" s="1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1"/>
      <c r="B879" s="1"/>
      <c r="C879" s="2"/>
      <c r="D879" s="1"/>
      <c r="E879" s="3"/>
      <c r="F879" s="3"/>
      <c r="G879" s="1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1"/>
      <c r="B880" s="1"/>
      <c r="C880" s="2"/>
      <c r="D880" s="1"/>
      <c r="E880" s="3"/>
      <c r="F880" s="3"/>
      <c r="G880" s="1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1"/>
      <c r="B881" s="1"/>
      <c r="C881" s="2"/>
      <c r="D881" s="1"/>
      <c r="E881" s="3"/>
      <c r="F881" s="3"/>
      <c r="G881" s="1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1"/>
      <c r="B882" s="1"/>
      <c r="C882" s="2"/>
      <c r="D882" s="1"/>
      <c r="E882" s="3"/>
      <c r="F882" s="3"/>
      <c r="G882" s="1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1"/>
      <c r="B883" s="1"/>
      <c r="C883" s="2"/>
      <c r="D883" s="1"/>
      <c r="E883" s="3"/>
      <c r="F883" s="3"/>
      <c r="G883" s="1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1"/>
      <c r="B884" s="1"/>
      <c r="C884" s="2"/>
      <c r="D884" s="1"/>
      <c r="E884" s="3"/>
      <c r="F884" s="3"/>
      <c r="G884" s="1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1"/>
      <c r="B885" s="1"/>
      <c r="C885" s="2"/>
      <c r="D885" s="1"/>
      <c r="E885" s="3"/>
      <c r="F885" s="3"/>
      <c r="G885" s="1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1"/>
      <c r="B886" s="1"/>
      <c r="C886" s="2"/>
      <c r="D886" s="1"/>
      <c r="E886" s="3"/>
      <c r="F886" s="3"/>
      <c r="G886" s="1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1"/>
      <c r="B887" s="1"/>
      <c r="C887" s="2"/>
      <c r="D887" s="1"/>
      <c r="E887" s="3"/>
      <c r="F887" s="3"/>
      <c r="G887" s="1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1"/>
      <c r="B888" s="1"/>
      <c r="C888" s="2"/>
      <c r="D888" s="1"/>
      <c r="E888" s="3"/>
      <c r="F888" s="3"/>
      <c r="G888" s="1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1"/>
      <c r="B889" s="1"/>
      <c r="C889" s="2"/>
      <c r="D889" s="1"/>
      <c r="E889" s="3"/>
      <c r="F889" s="3"/>
      <c r="G889" s="1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1"/>
      <c r="B890" s="1"/>
      <c r="C890" s="2"/>
      <c r="D890" s="1"/>
      <c r="E890" s="3"/>
      <c r="F890" s="3"/>
      <c r="G890" s="1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1"/>
      <c r="B891" s="1"/>
      <c r="C891" s="2"/>
      <c r="D891" s="1"/>
      <c r="E891" s="3"/>
      <c r="F891" s="3"/>
      <c r="G891" s="1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1"/>
      <c r="B892" s="1"/>
      <c r="C892" s="2"/>
      <c r="D892" s="1"/>
      <c r="E892" s="3"/>
      <c r="F892" s="3"/>
      <c r="G892" s="1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1"/>
      <c r="B893" s="1"/>
      <c r="C893" s="2"/>
      <c r="D893" s="1"/>
      <c r="E893" s="3"/>
      <c r="F893" s="3"/>
      <c r="G893" s="1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1"/>
      <c r="B894" s="1"/>
      <c r="C894" s="2"/>
      <c r="D894" s="1"/>
      <c r="E894" s="3"/>
      <c r="F894" s="3"/>
      <c r="G894" s="1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1"/>
      <c r="B895" s="1"/>
      <c r="C895" s="2"/>
      <c r="D895" s="1"/>
      <c r="E895" s="3"/>
      <c r="F895" s="3"/>
      <c r="G895" s="1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1"/>
      <c r="B896" s="1"/>
      <c r="C896" s="2"/>
      <c r="D896" s="1"/>
      <c r="E896" s="3"/>
      <c r="F896" s="3"/>
      <c r="G896" s="1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1"/>
      <c r="B897" s="1"/>
      <c r="C897" s="2"/>
      <c r="D897" s="1"/>
      <c r="E897" s="3"/>
      <c r="F897" s="3"/>
      <c r="G897" s="1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1"/>
      <c r="B898" s="1"/>
      <c r="C898" s="2"/>
      <c r="D898" s="1"/>
      <c r="E898" s="3"/>
      <c r="F898" s="3"/>
      <c r="G898" s="1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1"/>
      <c r="B899" s="1"/>
      <c r="C899" s="2"/>
      <c r="D899" s="1"/>
      <c r="E899" s="3"/>
      <c r="F899" s="3"/>
      <c r="G899" s="1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1"/>
      <c r="B900" s="1"/>
      <c r="C900" s="2"/>
      <c r="D900" s="1"/>
      <c r="E900" s="3"/>
      <c r="F900" s="3"/>
      <c r="G900" s="1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1"/>
      <c r="B901" s="1"/>
      <c r="C901" s="2"/>
      <c r="D901" s="1"/>
      <c r="E901" s="3"/>
      <c r="F901" s="3"/>
      <c r="G901" s="1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1"/>
      <c r="B902" s="1"/>
      <c r="C902" s="2"/>
      <c r="D902" s="1"/>
      <c r="E902" s="3"/>
      <c r="F902" s="3"/>
      <c r="G902" s="1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1"/>
      <c r="B903" s="1"/>
      <c r="C903" s="2"/>
      <c r="D903" s="1"/>
      <c r="E903" s="3"/>
      <c r="F903" s="3"/>
      <c r="G903" s="1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1"/>
      <c r="B904" s="1"/>
      <c r="C904" s="2"/>
      <c r="D904" s="1"/>
      <c r="E904" s="3"/>
      <c r="F904" s="3"/>
      <c r="G904" s="1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1"/>
      <c r="B905" s="1"/>
      <c r="C905" s="2"/>
      <c r="D905" s="1"/>
      <c r="E905" s="3"/>
      <c r="F905" s="3"/>
      <c r="G905" s="1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1"/>
      <c r="B906" s="1"/>
      <c r="C906" s="2"/>
      <c r="D906" s="1"/>
      <c r="E906" s="3"/>
      <c r="F906" s="3"/>
      <c r="G906" s="1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1"/>
      <c r="B907" s="1"/>
      <c r="C907" s="2"/>
      <c r="D907" s="1"/>
      <c r="E907" s="3"/>
      <c r="F907" s="3"/>
      <c r="G907" s="1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1"/>
      <c r="B908" s="1"/>
      <c r="C908" s="2"/>
      <c r="D908" s="1"/>
      <c r="E908" s="3"/>
      <c r="F908" s="3"/>
      <c r="G908" s="1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1"/>
      <c r="B909" s="1"/>
      <c r="C909" s="2"/>
      <c r="D909" s="1"/>
      <c r="E909" s="3"/>
      <c r="F909" s="3"/>
      <c r="G909" s="1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1"/>
      <c r="B910" s="1"/>
      <c r="C910" s="2"/>
      <c r="D910" s="1"/>
      <c r="E910" s="3"/>
      <c r="F910" s="3"/>
      <c r="G910" s="1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1"/>
      <c r="B911" s="1"/>
      <c r="C911" s="2"/>
      <c r="D911" s="1"/>
      <c r="E911" s="3"/>
      <c r="F911" s="3"/>
      <c r="G911" s="1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1"/>
      <c r="B912" s="1"/>
      <c r="C912" s="2"/>
      <c r="D912" s="1"/>
      <c r="E912" s="3"/>
      <c r="F912" s="3"/>
      <c r="G912" s="1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1"/>
      <c r="B913" s="1"/>
      <c r="C913" s="2"/>
      <c r="D913" s="1"/>
      <c r="E913" s="3"/>
      <c r="F913" s="3"/>
      <c r="G913" s="1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1"/>
      <c r="B914" s="1"/>
      <c r="C914" s="2"/>
      <c r="D914" s="1"/>
      <c r="E914" s="3"/>
      <c r="F914" s="3"/>
      <c r="G914" s="1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1"/>
      <c r="B915" s="1"/>
      <c r="C915" s="2"/>
      <c r="D915" s="1"/>
      <c r="E915" s="3"/>
      <c r="F915" s="3"/>
      <c r="G915" s="1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1"/>
      <c r="B916" s="1"/>
      <c r="C916" s="2"/>
      <c r="D916" s="1"/>
      <c r="E916" s="3"/>
      <c r="F916" s="3"/>
      <c r="G916" s="1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1"/>
      <c r="B917" s="1"/>
      <c r="C917" s="2"/>
      <c r="D917" s="1"/>
      <c r="E917" s="3"/>
      <c r="F917" s="3"/>
      <c r="G917" s="1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1"/>
      <c r="B918" s="1"/>
      <c r="C918" s="2"/>
      <c r="D918" s="1"/>
      <c r="E918" s="3"/>
      <c r="F918" s="3"/>
      <c r="G918" s="1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1"/>
      <c r="B919" s="1"/>
      <c r="C919" s="2"/>
      <c r="D919" s="1"/>
      <c r="E919" s="3"/>
      <c r="F919" s="3"/>
      <c r="G919" s="1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1"/>
      <c r="B920" s="1"/>
      <c r="C920" s="2"/>
      <c r="D920" s="1"/>
      <c r="E920" s="3"/>
      <c r="F920" s="3"/>
      <c r="G920" s="1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1"/>
      <c r="B921" s="1"/>
      <c r="C921" s="2"/>
      <c r="D921" s="1"/>
      <c r="E921" s="3"/>
      <c r="F921" s="3"/>
      <c r="G921" s="1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1"/>
      <c r="B922" s="1"/>
      <c r="C922" s="2"/>
      <c r="D922" s="1"/>
      <c r="E922" s="3"/>
      <c r="F922" s="3"/>
      <c r="G922" s="1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1"/>
      <c r="B923" s="1"/>
      <c r="C923" s="2"/>
      <c r="D923" s="1"/>
      <c r="E923" s="3"/>
      <c r="F923" s="3"/>
      <c r="G923" s="1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1"/>
      <c r="B924" s="1"/>
      <c r="C924" s="2"/>
      <c r="D924" s="1"/>
      <c r="E924" s="3"/>
      <c r="F924" s="3"/>
      <c r="G924" s="1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1"/>
      <c r="B925" s="1"/>
      <c r="C925" s="2"/>
      <c r="D925" s="1"/>
      <c r="E925" s="3"/>
      <c r="F925" s="3"/>
      <c r="G925" s="1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1"/>
      <c r="B926" s="1"/>
      <c r="C926" s="2"/>
      <c r="D926" s="1"/>
      <c r="E926" s="3"/>
      <c r="F926" s="3"/>
      <c r="G926" s="1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1"/>
      <c r="B927" s="1"/>
      <c r="C927" s="2"/>
      <c r="D927" s="1"/>
      <c r="E927" s="3"/>
      <c r="F927" s="3"/>
      <c r="G927" s="1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1"/>
      <c r="B928" s="1"/>
      <c r="C928" s="2"/>
      <c r="D928" s="1"/>
      <c r="E928" s="3"/>
      <c r="F928" s="3"/>
      <c r="G928" s="1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1"/>
      <c r="B929" s="1"/>
      <c r="C929" s="2"/>
      <c r="D929" s="1"/>
      <c r="E929" s="3"/>
      <c r="F929" s="3"/>
      <c r="G929" s="1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1"/>
      <c r="B930" s="1"/>
      <c r="C930" s="2"/>
      <c r="D930" s="1"/>
      <c r="E930" s="3"/>
      <c r="F930" s="3"/>
      <c r="G930" s="1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1"/>
      <c r="B931" s="1"/>
      <c r="C931" s="2"/>
      <c r="D931" s="1"/>
      <c r="E931" s="3"/>
      <c r="F931" s="3"/>
      <c r="G931" s="1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1"/>
      <c r="B932" s="1"/>
      <c r="C932" s="2"/>
      <c r="D932" s="1"/>
      <c r="E932" s="3"/>
      <c r="F932" s="3"/>
      <c r="G932" s="1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1"/>
      <c r="B933" s="1"/>
      <c r="C933" s="2"/>
      <c r="D933" s="1"/>
      <c r="E933" s="3"/>
      <c r="F933" s="3"/>
      <c r="G933" s="1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1"/>
      <c r="B934" s="1"/>
      <c r="C934" s="2"/>
      <c r="D934" s="1"/>
      <c r="E934" s="3"/>
      <c r="F934" s="3"/>
      <c r="G934" s="1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1"/>
      <c r="B935" s="1"/>
      <c r="C935" s="2"/>
      <c r="D935" s="1"/>
      <c r="E935" s="3"/>
      <c r="F935" s="3"/>
      <c r="G935" s="1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1"/>
      <c r="B936" s="1"/>
      <c r="C936" s="2"/>
      <c r="D936" s="1"/>
      <c r="E936" s="3"/>
      <c r="F936" s="3"/>
      <c r="G936" s="1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1"/>
      <c r="B937" s="1"/>
      <c r="C937" s="2"/>
      <c r="D937" s="1"/>
      <c r="E937" s="3"/>
      <c r="F937" s="3"/>
      <c r="G937" s="1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1"/>
      <c r="B938" s="1"/>
      <c r="C938" s="2"/>
      <c r="D938" s="1"/>
      <c r="E938" s="3"/>
      <c r="F938" s="3"/>
      <c r="G938" s="1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1"/>
      <c r="B939" s="1"/>
      <c r="C939" s="2"/>
      <c r="D939" s="1"/>
      <c r="E939" s="3"/>
      <c r="F939" s="3"/>
      <c r="G939" s="1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1"/>
      <c r="B940" s="1"/>
      <c r="C940" s="2"/>
      <c r="D940" s="1"/>
      <c r="E940" s="3"/>
      <c r="F940" s="3"/>
      <c r="G940" s="1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1"/>
      <c r="B941" s="1"/>
      <c r="C941" s="2"/>
      <c r="D941" s="1"/>
      <c r="E941" s="3"/>
      <c r="F941" s="3"/>
      <c r="G941" s="1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1"/>
      <c r="B942" s="1"/>
      <c r="C942" s="2"/>
      <c r="D942" s="1"/>
      <c r="E942" s="3"/>
      <c r="F942" s="3"/>
      <c r="G942" s="1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1"/>
      <c r="B943" s="1"/>
      <c r="C943" s="2"/>
      <c r="D943" s="1"/>
      <c r="E943" s="3"/>
      <c r="F943" s="3"/>
      <c r="G943" s="1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1"/>
      <c r="B944" s="1"/>
      <c r="C944" s="2"/>
      <c r="D944" s="1"/>
      <c r="E944" s="3"/>
      <c r="F944" s="3"/>
      <c r="G944" s="1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1"/>
      <c r="B945" s="1"/>
      <c r="C945" s="2"/>
      <c r="D945" s="1"/>
      <c r="E945" s="3"/>
      <c r="F945" s="3"/>
      <c r="G945" s="1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1"/>
      <c r="B946" s="1"/>
      <c r="C946" s="2"/>
      <c r="D946" s="1"/>
      <c r="E946" s="3"/>
      <c r="F946" s="3"/>
      <c r="G946" s="1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1"/>
      <c r="B947" s="1"/>
      <c r="C947" s="2"/>
      <c r="D947" s="1"/>
      <c r="E947" s="3"/>
      <c r="F947" s="3"/>
      <c r="G947" s="1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1"/>
      <c r="B948" s="1"/>
      <c r="C948" s="2"/>
      <c r="D948" s="1"/>
      <c r="E948" s="3"/>
      <c r="F948" s="3"/>
      <c r="G948" s="1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1"/>
      <c r="B949" s="1"/>
      <c r="C949" s="2"/>
      <c r="D949" s="1"/>
      <c r="E949" s="3"/>
      <c r="F949" s="3"/>
      <c r="G949" s="1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1"/>
      <c r="B950" s="1"/>
      <c r="C950" s="2"/>
      <c r="D950" s="1"/>
      <c r="E950" s="3"/>
      <c r="F950" s="3"/>
      <c r="G950" s="1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1"/>
      <c r="B951" s="1"/>
      <c r="C951" s="2"/>
      <c r="D951" s="1"/>
      <c r="E951" s="3"/>
      <c r="F951" s="3"/>
      <c r="G951" s="1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1"/>
      <c r="B952" s="1"/>
      <c r="C952" s="2"/>
      <c r="D952" s="1"/>
      <c r="E952" s="3"/>
      <c r="F952" s="3"/>
      <c r="G952" s="1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1"/>
      <c r="B953" s="1"/>
      <c r="C953" s="2"/>
      <c r="D953" s="1"/>
      <c r="E953" s="3"/>
      <c r="F953" s="3"/>
      <c r="G953" s="1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1"/>
      <c r="B954" s="1"/>
      <c r="C954" s="2"/>
      <c r="D954" s="1"/>
      <c r="E954" s="3"/>
      <c r="F954" s="3"/>
      <c r="G954" s="1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1"/>
      <c r="B955" s="1"/>
      <c r="C955" s="2"/>
      <c r="D955" s="1"/>
      <c r="E955" s="3"/>
      <c r="F955" s="3"/>
      <c r="G955" s="1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1"/>
      <c r="B956" s="1"/>
      <c r="C956" s="2"/>
      <c r="D956" s="1"/>
      <c r="E956" s="3"/>
      <c r="F956" s="3"/>
      <c r="G956" s="1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1"/>
      <c r="B957" s="1"/>
      <c r="C957" s="2"/>
      <c r="D957" s="1"/>
      <c r="E957" s="3"/>
      <c r="F957" s="3"/>
      <c r="G957" s="1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1"/>
      <c r="B958" s="1"/>
      <c r="C958" s="2"/>
      <c r="D958" s="1"/>
      <c r="E958" s="3"/>
      <c r="F958" s="3"/>
      <c r="G958" s="1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1"/>
      <c r="B959" s="1"/>
      <c r="C959" s="2"/>
      <c r="D959" s="1"/>
      <c r="E959" s="3"/>
      <c r="F959" s="3"/>
      <c r="G959" s="1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1"/>
      <c r="B960" s="1"/>
      <c r="C960" s="2"/>
      <c r="D960" s="1"/>
      <c r="E960" s="3"/>
      <c r="F960" s="3"/>
      <c r="G960" s="1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1"/>
      <c r="B961" s="1"/>
      <c r="C961" s="2"/>
      <c r="D961" s="1"/>
      <c r="E961" s="3"/>
      <c r="F961" s="3"/>
      <c r="G961" s="1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1"/>
      <c r="B962" s="1"/>
      <c r="C962" s="2"/>
      <c r="D962" s="1"/>
      <c r="E962" s="3"/>
      <c r="F962" s="3"/>
      <c r="G962" s="1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1"/>
      <c r="B963" s="1"/>
      <c r="C963" s="2"/>
      <c r="D963" s="1"/>
      <c r="E963" s="3"/>
      <c r="F963" s="3"/>
      <c r="G963" s="1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1"/>
      <c r="B964" s="1"/>
      <c r="C964" s="2"/>
      <c r="D964" s="1"/>
      <c r="E964" s="3"/>
      <c r="F964" s="3"/>
      <c r="G964" s="1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1"/>
      <c r="B965" s="1"/>
      <c r="C965" s="2"/>
      <c r="D965" s="1"/>
      <c r="E965" s="3"/>
      <c r="F965" s="3"/>
      <c r="G965" s="1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1"/>
      <c r="B966" s="1"/>
      <c r="C966" s="2"/>
      <c r="D966" s="1"/>
      <c r="E966" s="3"/>
      <c r="F966" s="3"/>
      <c r="G966" s="1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1"/>
      <c r="B967" s="1"/>
      <c r="C967" s="2"/>
      <c r="D967" s="1"/>
      <c r="E967" s="3"/>
      <c r="F967" s="3"/>
      <c r="G967" s="1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1"/>
      <c r="B968" s="1"/>
      <c r="C968" s="2"/>
      <c r="D968" s="1"/>
      <c r="E968" s="3"/>
      <c r="F968" s="3"/>
      <c r="G968" s="1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1"/>
      <c r="B969" s="1"/>
      <c r="C969" s="2"/>
      <c r="D969" s="1"/>
      <c r="E969" s="3"/>
      <c r="F969" s="3"/>
      <c r="G969" s="1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1"/>
      <c r="B970" s="1"/>
      <c r="C970" s="2"/>
      <c r="D970" s="1"/>
      <c r="E970" s="3"/>
      <c r="F970" s="3"/>
      <c r="G970" s="1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1"/>
      <c r="B971" s="1"/>
      <c r="C971" s="2"/>
      <c r="D971" s="1"/>
      <c r="E971" s="3"/>
      <c r="F971" s="3"/>
      <c r="G971" s="1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1"/>
      <c r="B972" s="1"/>
      <c r="C972" s="2"/>
      <c r="D972" s="1"/>
      <c r="E972" s="3"/>
      <c r="F972" s="3"/>
      <c r="G972" s="1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1"/>
      <c r="B973" s="1"/>
      <c r="C973" s="2"/>
      <c r="D973" s="1"/>
      <c r="E973" s="3"/>
      <c r="F973" s="3"/>
      <c r="G973" s="1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1"/>
      <c r="B974" s="1"/>
      <c r="C974" s="2"/>
      <c r="D974" s="1"/>
      <c r="E974" s="3"/>
      <c r="F974" s="3"/>
      <c r="G974" s="1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1"/>
      <c r="B975" s="1"/>
      <c r="C975" s="2"/>
      <c r="D975" s="1"/>
      <c r="E975" s="3"/>
      <c r="F975" s="3"/>
      <c r="G975" s="1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1"/>
      <c r="B976" s="1"/>
      <c r="C976" s="2"/>
      <c r="D976" s="1"/>
      <c r="E976" s="3"/>
      <c r="F976" s="3"/>
      <c r="G976" s="1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1"/>
      <c r="B977" s="1"/>
      <c r="C977" s="2"/>
      <c r="D977" s="1"/>
      <c r="E977" s="3"/>
      <c r="F977" s="3"/>
      <c r="G977" s="1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1"/>
      <c r="B978" s="1"/>
      <c r="C978" s="2"/>
      <c r="D978" s="1"/>
      <c r="E978" s="3"/>
      <c r="F978" s="3"/>
      <c r="G978" s="1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1"/>
      <c r="B979" s="1"/>
      <c r="C979" s="2"/>
      <c r="D979" s="1"/>
      <c r="E979" s="3"/>
      <c r="F979" s="3"/>
      <c r="G979" s="1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1"/>
      <c r="B980" s="1"/>
      <c r="C980" s="2"/>
      <c r="D980" s="1"/>
      <c r="E980" s="3"/>
      <c r="F980" s="3"/>
      <c r="G980" s="1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1"/>
      <c r="B981" s="1"/>
      <c r="C981" s="2"/>
      <c r="D981" s="1"/>
      <c r="E981" s="3"/>
      <c r="F981" s="3"/>
      <c r="G981" s="1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1"/>
      <c r="B982" s="1"/>
      <c r="C982" s="2"/>
      <c r="D982" s="1"/>
      <c r="E982" s="3"/>
      <c r="F982" s="3"/>
      <c r="G982" s="1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1"/>
      <c r="B983" s="1"/>
      <c r="C983" s="2"/>
      <c r="D983" s="1"/>
      <c r="E983" s="3"/>
      <c r="F983" s="3"/>
      <c r="G983" s="1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1"/>
      <c r="B984" s="1"/>
      <c r="C984" s="2"/>
      <c r="D984" s="1"/>
      <c r="E984" s="3"/>
      <c r="F984" s="3"/>
      <c r="G984" s="1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1"/>
      <c r="B985" s="1"/>
      <c r="C985" s="2"/>
      <c r="D985" s="1"/>
      <c r="E985" s="3"/>
      <c r="F985" s="3"/>
      <c r="G985" s="1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1"/>
      <c r="B986" s="1"/>
      <c r="C986" s="2"/>
      <c r="D986" s="1"/>
      <c r="E986" s="3"/>
      <c r="F986" s="3"/>
      <c r="G986" s="1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1"/>
      <c r="B987" s="1"/>
      <c r="C987" s="2"/>
      <c r="D987" s="1"/>
      <c r="E987" s="3"/>
      <c r="F987" s="3"/>
      <c r="G987" s="1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1"/>
      <c r="B988" s="1"/>
      <c r="C988" s="2"/>
      <c r="D988" s="1"/>
      <c r="E988" s="3"/>
      <c r="F988" s="3"/>
      <c r="G988" s="1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1"/>
      <c r="B989" s="1"/>
      <c r="C989" s="2"/>
      <c r="D989" s="1"/>
      <c r="E989" s="3"/>
      <c r="F989" s="3"/>
      <c r="G989" s="1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1"/>
      <c r="B990" s="1"/>
      <c r="C990" s="2"/>
      <c r="D990" s="1"/>
      <c r="E990" s="3"/>
      <c r="F990" s="3"/>
      <c r="G990" s="1"/>
      <c r="H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1"/>
      <c r="B991" s="1"/>
      <c r="C991" s="2"/>
      <c r="D991" s="1"/>
      <c r="E991" s="3"/>
      <c r="F991" s="3"/>
      <c r="G991" s="1"/>
      <c r="H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1"/>
      <c r="B992" s="1"/>
      <c r="C992" s="2"/>
      <c r="D992" s="1"/>
      <c r="E992" s="3"/>
      <c r="F992" s="3"/>
      <c r="G992" s="1"/>
      <c r="H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1"/>
      <c r="B993" s="1"/>
      <c r="C993" s="2"/>
      <c r="D993" s="1"/>
      <c r="E993" s="3"/>
      <c r="F993" s="3"/>
      <c r="G993" s="1"/>
      <c r="H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1"/>
      <c r="B994" s="1"/>
      <c r="C994" s="2"/>
      <c r="D994" s="1"/>
      <c r="E994" s="3"/>
      <c r="F994" s="3"/>
      <c r="G994" s="1"/>
      <c r="H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1"/>
      <c r="B995" s="1"/>
      <c r="C995" s="2"/>
      <c r="D995" s="1"/>
      <c r="E995" s="3"/>
      <c r="F995" s="3"/>
      <c r="G995" s="1"/>
      <c r="H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1"/>
      <c r="B996" s="1"/>
      <c r="C996" s="2"/>
      <c r="D996" s="1"/>
      <c r="E996" s="3"/>
      <c r="F996" s="3"/>
      <c r="G996" s="1"/>
      <c r="H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1"/>
      <c r="B997" s="1"/>
      <c r="C997" s="2"/>
      <c r="D997" s="1"/>
      <c r="E997" s="3"/>
      <c r="F997" s="3"/>
      <c r="G997" s="1"/>
      <c r="H997" s="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1"/>
      <c r="B998" s="1"/>
      <c r="C998" s="2"/>
      <c r="D998" s="1"/>
      <c r="E998" s="3"/>
      <c r="F998" s="3"/>
      <c r="G998" s="1"/>
      <c r="H998" s="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1"/>
      <c r="B999" s="1"/>
      <c r="C999" s="2"/>
      <c r="D999" s="1"/>
      <c r="E999" s="3"/>
      <c r="F999" s="3"/>
      <c r="G999" s="1"/>
      <c r="H999" s="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1"/>
      <c r="B1000" s="1"/>
      <c r="C1000" s="2"/>
      <c r="D1000" s="1"/>
      <c r="E1000" s="3"/>
      <c r="F1000" s="3"/>
      <c r="G1000" s="1"/>
      <c r="H1000" s="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1"/>
      <c r="B1001" s="1"/>
      <c r="C1001" s="2"/>
      <c r="D1001" s="1"/>
      <c r="E1001" s="3"/>
      <c r="F1001" s="3"/>
      <c r="G1001" s="1"/>
      <c r="H1001" s="1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1"/>
      <c r="B1002" s="1"/>
      <c r="C1002" s="2"/>
      <c r="D1002" s="1"/>
      <c r="E1002" s="3"/>
      <c r="F1002" s="3"/>
      <c r="G1002" s="1"/>
      <c r="H1002" s="1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1"/>
      <c r="B1003" s="1"/>
      <c r="C1003" s="2"/>
      <c r="D1003" s="1"/>
      <c r="E1003" s="3"/>
      <c r="F1003" s="3"/>
      <c r="G1003" s="1"/>
      <c r="H1003" s="1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1"/>
      <c r="B1004" s="1"/>
      <c r="C1004" s="2"/>
      <c r="D1004" s="1"/>
      <c r="E1004" s="3"/>
      <c r="F1004" s="3"/>
      <c r="G1004" s="1"/>
      <c r="H1004" s="1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1"/>
      <c r="B1005" s="1"/>
      <c r="C1005" s="2"/>
      <c r="D1005" s="1"/>
      <c r="E1005" s="3"/>
      <c r="F1005" s="3"/>
      <c r="G1005" s="1"/>
      <c r="H1005" s="1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1"/>
      <c r="B1006" s="1"/>
      <c r="C1006" s="2"/>
      <c r="D1006" s="1"/>
      <c r="E1006" s="3"/>
      <c r="F1006" s="3"/>
      <c r="G1006" s="1"/>
      <c r="H1006" s="1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1"/>
      <c r="B1007" s="1"/>
      <c r="C1007" s="2"/>
      <c r="D1007" s="1"/>
      <c r="E1007" s="3"/>
      <c r="F1007" s="3"/>
      <c r="G1007" s="1"/>
      <c r="H1007" s="1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1"/>
      <c r="B1008" s="1"/>
      <c r="C1008" s="2"/>
      <c r="D1008" s="1"/>
      <c r="E1008" s="3"/>
      <c r="F1008" s="3"/>
      <c r="G1008" s="1"/>
      <c r="H1008" s="1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1"/>
      <c r="B1009" s="1"/>
      <c r="C1009" s="2"/>
      <c r="D1009" s="1"/>
      <c r="E1009" s="3"/>
      <c r="F1009" s="3"/>
      <c r="G1009" s="1"/>
      <c r="H1009" s="1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1"/>
      <c r="B1010" s="1"/>
      <c r="C1010" s="2"/>
      <c r="D1010" s="1"/>
      <c r="E1010" s="3"/>
      <c r="F1010" s="3"/>
      <c r="G1010" s="1"/>
      <c r="H1010" s="1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x14ac:dyDescent="0.2">
      <c r="A1011" s="1"/>
      <c r="B1011" s="1"/>
      <c r="C1011" s="2"/>
      <c r="D1011" s="1"/>
      <c r="E1011" s="3"/>
      <c r="F1011" s="3"/>
      <c r="G1011" s="1"/>
      <c r="H1011" s="1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x14ac:dyDescent="0.2">
      <c r="A1012" s="1"/>
      <c r="B1012" s="1"/>
      <c r="C1012" s="2"/>
      <c r="D1012" s="1"/>
      <c r="E1012" s="3"/>
      <c r="F1012" s="3"/>
      <c r="G1012" s="1"/>
      <c r="H1012" s="1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x14ac:dyDescent="0.2">
      <c r="A1013" s="1"/>
      <c r="B1013" s="1"/>
      <c r="C1013" s="2"/>
      <c r="D1013" s="1"/>
      <c r="E1013" s="3"/>
      <c r="F1013" s="3"/>
      <c r="G1013" s="1"/>
      <c r="H1013" s="1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x14ac:dyDescent="0.2">
      <c r="A1014" s="1"/>
      <c r="B1014" s="1"/>
      <c r="C1014" s="2"/>
      <c r="D1014" s="1"/>
      <c r="E1014" s="3"/>
      <c r="F1014" s="3"/>
      <c r="G1014" s="1"/>
      <c r="H1014" s="1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x14ac:dyDescent="0.2">
      <c r="A1015" s="1"/>
      <c r="B1015" s="1"/>
      <c r="C1015" s="2"/>
      <c r="D1015" s="1"/>
      <c r="E1015" s="3"/>
      <c r="F1015" s="3"/>
      <c r="G1015" s="1"/>
      <c r="H1015" s="1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x14ac:dyDescent="0.2">
      <c r="A1016" s="1"/>
      <c r="B1016" s="1"/>
      <c r="C1016" s="2"/>
      <c r="D1016" s="1"/>
      <c r="E1016" s="3"/>
      <c r="F1016" s="3"/>
      <c r="G1016" s="1"/>
      <c r="H1016" s="1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x14ac:dyDescent="0.2">
      <c r="A1017" s="1"/>
      <c r="B1017" s="1"/>
      <c r="C1017" s="2"/>
      <c r="D1017" s="1"/>
      <c r="E1017" s="3"/>
      <c r="F1017" s="3"/>
      <c r="G1017" s="1"/>
      <c r="H1017" s="1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x14ac:dyDescent="0.2">
      <c r="A1018" s="1"/>
      <c r="B1018" s="1"/>
      <c r="C1018" s="2"/>
      <c r="D1018" s="1"/>
      <c r="E1018" s="3"/>
      <c r="F1018" s="3"/>
      <c r="G1018" s="1"/>
      <c r="H1018" s="1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x14ac:dyDescent="0.2">
      <c r="A1019" s="1"/>
      <c r="B1019" s="1"/>
      <c r="C1019" s="2"/>
      <c r="D1019" s="1"/>
      <c r="E1019" s="3"/>
      <c r="F1019" s="3"/>
      <c r="G1019" s="1"/>
      <c r="H1019" s="1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x14ac:dyDescent="0.2">
      <c r="A1020" s="1"/>
      <c r="B1020" s="1"/>
      <c r="C1020" s="2"/>
      <c r="D1020" s="1"/>
      <c r="E1020" s="3"/>
      <c r="F1020" s="3"/>
      <c r="G1020" s="1"/>
      <c r="H1020" s="1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x14ac:dyDescent="0.2">
      <c r="A1021" s="1"/>
      <c r="B1021" s="1"/>
      <c r="C1021" s="2"/>
      <c r="D1021" s="1"/>
      <c r="E1021" s="3"/>
      <c r="F1021" s="3"/>
      <c r="G1021" s="1"/>
      <c r="H1021" s="1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x14ac:dyDescent="0.2">
      <c r="A1022" s="1"/>
      <c r="B1022" s="1"/>
      <c r="C1022" s="2"/>
      <c r="D1022" s="1"/>
      <c r="E1022" s="3"/>
      <c r="F1022" s="3"/>
      <c r="G1022" s="1"/>
      <c r="H1022" s="1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x14ac:dyDescent="0.2">
      <c r="A1023" s="1"/>
      <c r="B1023" s="1"/>
      <c r="C1023" s="2"/>
      <c r="D1023" s="1"/>
      <c r="E1023" s="3"/>
      <c r="F1023" s="3"/>
      <c r="G1023" s="1"/>
      <c r="H1023" s="1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x14ac:dyDescent="0.2">
      <c r="A1024" s="1"/>
      <c r="B1024" s="1"/>
      <c r="C1024" s="2"/>
      <c r="D1024" s="1"/>
      <c r="E1024" s="3"/>
      <c r="F1024" s="3"/>
      <c r="G1024" s="1"/>
      <c r="H1024" s="1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x14ac:dyDescent="0.2">
      <c r="A1025" s="1"/>
      <c r="B1025" s="1"/>
      <c r="C1025" s="2"/>
      <c r="D1025" s="1"/>
      <c r="E1025" s="3"/>
      <c r="F1025" s="3"/>
      <c r="G1025" s="1"/>
      <c r="H1025" s="1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x14ac:dyDescent="0.2">
      <c r="A1026" s="1"/>
      <c r="B1026" s="1"/>
      <c r="C1026" s="2"/>
      <c r="D1026" s="1"/>
      <c r="E1026" s="3"/>
      <c r="F1026" s="3"/>
      <c r="G1026" s="1"/>
      <c r="H1026" s="1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x14ac:dyDescent="0.2">
      <c r="A1027" s="1"/>
      <c r="B1027" s="1"/>
      <c r="C1027" s="2"/>
      <c r="D1027" s="1"/>
      <c r="E1027" s="3"/>
      <c r="F1027" s="3"/>
      <c r="G1027" s="1"/>
      <c r="H1027" s="1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x14ac:dyDescent="0.2">
      <c r="A1028" s="1"/>
      <c r="B1028" s="1"/>
      <c r="C1028" s="2"/>
      <c r="D1028" s="1"/>
      <c r="E1028" s="3"/>
      <c r="F1028" s="3"/>
      <c r="G1028" s="1"/>
      <c r="H1028" s="1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x14ac:dyDescent="0.2">
      <c r="A1029" s="1"/>
      <c r="B1029" s="1"/>
      <c r="C1029" s="2"/>
      <c r="D1029" s="1"/>
      <c r="E1029" s="3"/>
      <c r="F1029" s="3"/>
      <c r="G1029" s="1"/>
      <c r="H1029" s="1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x14ac:dyDescent="0.2">
      <c r="A1030" s="1"/>
      <c r="B1030" s="1"/>
      <c r="C1030" s="2"/>
      <c r="D1030" s="1"/>
      <c r="E1030" s="3"/>
      <c r="F1030" s="3"/>
      <c r="G1030" s="1"/>
      <c r="H1030" s="1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x14ac:dyDescent="0.2">
      <c r="A1031" s="1"/>
      <c r="B1031" s="1"/>
      <c r="C1031" s="2"/>
      <c r="D1031" s="1"/>
      <c r="E1031" s="3"/>
      <c r="F1031" s="3"/>
      <c r="G1031" s="1"/>
      <c r="H1031" s="1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x14ac:dyDescent="0.2">
      <c r="A1032" s="1"/>
      <c r="B1032" s="1"/>
      <c r="C1032" s="2"/>
      <c r="D1032" s="1"/>
      <c r="E1032" s="3"/>
      <c r="F1032" s="3"/>
      <c r="G1032" s="1"/>
      <c r="H1032" s="1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x14ac:dyDescent="0.2">
      <c r="A1033" s="1"/>
      <c r="B1033" s="1"/>
      <c r="C1033" s="2"/>
      <c r="D1033" s="1"/>
      <c r="E1033" s="3"/>
      <c r="F1033" s="3"/>
      <c r="G1033" s="1"/>
      <c r="H1033" s="1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x14ac:dyDescent="0.2">
      <c r="A1034" s="1"/>
      <c r="B1034" s="1"/>
      <c r="C1034" s="2"/>
      <c r="D1034" s="1"/>
      <c r="E1034" s="3"/>
      <c r="F1034" s="3"/>
      <c r="G1034" s="1"/>
      <c r="H1034" s="1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x14ac:dyDescent="0.2">
      <c r="A1035" s="1"/>
      <c r="B1035" s="1"/>
      <c r="C1035" s="2"/>
      <c r="D1035" s="1"/>
      <c r="E1035" s="3"/>
      <c r="F1035" s="3"/>
      <c r="G1035" s="1"/>
      <c r="H1035" s="1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x14ac:dyDescent="0.2">
      <c r="A1036" s="1"/>
      <c r="B1036" s="1"/>
      <c r="C1036" s="2"/>
      <c r="D1036" s="1"/>
      <c r="E1036" s="3"/>
      <c r="F1036" s="3"/>
      <c r="G1036" s="1"/>
      <c r="H1036" s="1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x14ac:dyDescent="0.2">
      <c r="A1037" s="1"/>
      <c r="B1037" s="1"/>
      <c r="C1037" s="2"/>
      <c r="D1037" s="1"/>
      <c r="E1037" s="3"/>
      <c r="F1037" s="3"/>
      <c r="G1037" s="1"/>
      <c r="H1037" s="1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x14ac:dyDescent="0.2">
      <c r="A1038" s="1"/>
      <c r="B1038" s="1"/>
      <c r="C1038" s="2"/>
      <c r="D1038" s="1"/>
      <c r="E1038" s="3"/>
      <c r="F1038" s="3"/>
      <c r="G1038" s="1"/>
      <c r="H1038" s="1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x14ac:dyDescent="0.2">
      <c r="A1039" s="1"/>
      <c r="B1039" s="1"/>
      <c r="C1039" s="2"/>
      <c r="D1039" s="1"/>
      <c r="E1039" s="3"/>
      <c r="F1039" s="3"/>
      <c r="G1039" s="1"/>
      <c r="H1039" s="1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x14ac:dyDescent="0.2">
      <c r="A1040" s="1"/>
      <c r="B1040" s="1"/>
      <c r="C1040" s="2"/>
      <c r="D1040" s="1"/>
      <c r="E1040" s="3"/>
      <c r="F1040" s="3"/>
      <c r="G1040" s="1"/>
      <c r="H1040" s="1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x14ac:dyDescent="0.2">
      <c r="A1041" s="1"/>
      <c r="B1041" s="1"/>
      <c r="C1041" s="2"/>
      <c r="D1041" s="1"/>
      <c r="E1041" s="3"/>
      <c r="F1041" s="3"/>
      <c r="G1041" s="1"/>
      <c r="H1041" s="1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x14ac:dyDescent="0.2">
      <c r="A1042" s="1"/>
      <c r="B1042" s="1"/>
      <c r="C1042" s="2"/>
      <c r="D1042" s="1"/>
      <c r="E1042" s="3"/>
      <c r="F1042" s="3"/>
      <c r="G1042" s="1"/>
      <c r="H1042" s="1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x14ac:dyDescent="0.2">
      <c r="A1043" s="1"/>
      <c r="B1043" s="1"/>
      <c r="C1043" s="2"/>
      <c r="D1043" s="1"/>
      <c r="E1043" s="3"/>
      <c r="F1043" s="3"/>
      <c r="G1043" s="1"/>
      <c r="H1043" s="1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x14ac:dyDescent="0.2">
      <c r="A1044" s="1"/>
      <c r="B1044" s="1"/>
      <c r="C1044" s="2"/>
      <c r="D1044" s="1"/>
      <c r="E1044" s="3"/>
      <c r="F1044" s="3"/>
      <c r="G1044" s="1"/>
      <c r="H1044" s="1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x14ac:dyDescent="0.2">
      <c r="A1045" s="1"/>
      <c r="B1045" s="1"/>
      <c r="C1045" s="2"/>
      <c r="D1045" s="1"/>
      <c r="E1045" s="3"/>
      <c r="F1045" s="3"/>
      <c r="G1045" s="1"/>
      <c r="H1045" s="1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x14ac:dyDescent="0.2">
      <c r="A1046" s="1"/>
      <c r="B1046" s="1"/>
      <c r="C1046" s="2"/>
      <c r="D1046" s="1"/>
      <c r="E1046" s="3"/>
      <c r="F1046" s="3"/>
      <c r="G1046" s="1"/>
      <c r="H1046" s="1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x14ac:dyDescent="0.2">
      <c r="A1047" s="1"/>
      <c r="B1047" s="1"/>
      <c r="C1047" s="2"/>
      <c r="D1047" s="1"/>
      <c r="E1047" s="3"/>
      <c r="F1047" s="3"/>
      <c r="G1047" s="1"/>
      <c r="H1047" s="1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x14ac:dyDescent="0.2">
      <c r="A1048" s="1"/>
      <c r="B1048" s="1"/>
      <c r="C1048" s="2"/>
      <c r="D1048" s="1"/>
      <c r="E1048" s="3"/>
      <c r="F1048" s="3"/>
      <c r="G1048" s="1"/>
      <c r="H1048" s="1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x14ac:dyDescent="0.2">
      <c r="A1049" s="1"/>
      <c r="B1049" s="1"/>
      <c r="C1049" s="2"/>
      <c r="D1049" s="1"/>
      <c r="E1049" s="3"/>
      <c r="F1049" s="3"/>
      <c r="G1049" s="1"/>
      <c r="H1049" s="1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x14ac:dyDescent="0.2">
      <c r="A1050" s="1"/>
      <c r="B1050" s="1"/>
      <c r="C1050" s="2"/>
      <c r="D1050" s="1"/>
      <c r="E1050" s="3"/>
      <c r="F1050" s="3"/>
      <c r="G1050" s="1"/>
      <c r="H1050" s="1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x14ac:dyDescent="0.2">
      <c r="A1051" s="1"/>
      <c r="B1051" s="1"/>
      <c r="C1051" s="2"/>
      <c r="D1051" s="1"/>
      <c r="E1051" s="3"/>
      <c r="F1051" s="3"/>
      <c r="G1051" s="1"/>
      <c r="H1051" s="1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x14ac:dyDescent="0.2">
      <c r="A1052" s="1"/>
      <c r="B1052" s="1"/>
      <c r="C1052" s="2"/>
      <c r="D1052" s="1"/>
      <c r="E1052" s="3"/>
      <c r="F1052" s="3"/>
      <c r="G1052" s="1"/>
      <c r="H1052" s="1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x14ac:dyDescent="0.2">
      <c r="A1053" s="1"/>
      <c r="B1053" s="1"/>
      <c r="C1053" s="2"/>
      <c r="D1053" s="1"/>
      <c r="E1053" s="3"/>
      <c r="F1053" s="3"/>
      <c r="G1053" s="1"/>
      <c r="H1053" s="1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x14ac:dyDescent="0.2">
      <c r="A1054" s="1"/>
      <c r="B1054" s="1"/>
      <c r="C1054" s="2"/>
      <c r="D1054" s="1"/>
      <c r="E1054" s="3"/>
      <c r="F1054" s="3"/>
      <c r="G1054" s="1"/>
      <c r="H1054" s="1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x14ac:dyDescent="0.2">
      <c r="A1055" s="1"/>
      <c r="B1055" s="1"/>
      <c r="C1055" s="2"/>
      <c r="D1055" s="1"/>
      <c r="E1055" s="3"/>
      <c r="F1055" s="3"/>
      <c r="G1055" s="1"/>
      <c r="H1055" s="1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x14ac:dyDescent="0.2">
      <c r="A1056" s="1"/>
      <c r="B1056" s="1"/>
      <c r="C1056" s="2"/>
      <c r="D1056" s="1"/>
      <c r="E1056" s="3"/>
      <c r="F1056" s="3"/>
      <c r="G1056" s="1"/>
      <c r="H1056" s="1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</sheetData>
  <autoFilter ref="A1:J46" xr:uid="{00000000-0001-0000-0000-000000000000}"/>
  <mergeCells count="6">
    <mergeCell ref="L7:P7"/>
    <mergeCell ref="L2:S2"/>
    <mergeCell ref="L3:S3"/>
    <mergeCell ref="L4:S4"/>
    <mergeCell ref="L5:S5"/>
    <mergeCell ref="L6:S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047C-BC06-46E9-9993-09037F03A601}">
  <dimension ref="A2:M36"/>
  <sheetViews>
    <sheetView topLeftCell="A15" workbookViewId="0">
      <selection activeCell="N35" sqref="N35"/>
    </sheetView>
  </sheetViews>
  <sheetFormatPr defaultRowHeight="12.75" x14ac:dyDescent="0.2"/>
  <cols>
    <col min="1" max="1" width="31" bestFit="1" customWidth="1"/>
    <col min="2" max="2" width="13" customWidth="1"/>
  </cols>
  <sheetData>
    <row r="2" spans="1:12" ht="18.75" x14ac:dyDescent="0.2">
      <c r="A2" s="22" t="s">
        <v>71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5.75" customHeight="1" x14ac:dyDescent="0.2">
      <c r="A3" s="23" t="s">
        <v>72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15.75" x14ac:dyDescent="0.2">
      <c r="A4" s="24" t="s">
        <v>73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ht="15.75" x14ac:dyDescent="0.2">
      <c r="A5" s="24" t="s">
        <v>74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ht="15.75" x14ac:dyDescent="0.2">
      <c r="A6" s="24" t="s">
        <v>75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 ht="15.75" customHeight="1" x14ac:dyDescent="0.2">
      <c r="A7" s="23" t="s">
        <v>76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10" spans="1:12" ht="15" x14ac:dyDescent="0.25">
      <c r="A10" s="7" t="s">
        <v>70</v>
      </c>
      <c r="B10" s="5">
        <f>SUM('Clean Data'!G2:G46)</f>
        <v>145.29000000000002</v>
      </c>
    </row>
    <row r="11" spans="1:12" ht="15" x14ac:dyDescent="0.25">
      <c r="A11" s="8" t="s">
        <v>117</v>
      </c>
      <c r="B11" s="5">
        <f>AVERAGE('Clean Data'!G2:G46)</f>
        <v>3.2286666666666672</v>
      </c>
    </row>
    <row r="12" spans="1:12" ht="15" x14ac:dyDescent="0.25">
      <c r="A12" s="8" t="s">
        <v>118</v>
      </c>
      <c r="B12" s="5">
        <f>MEDIAN('Clean Data'!G2:G46)</f>
        <v>2.5499999999999998</v>
      </c>
    </row>
    <row r="13" spans="1:12" ht="15" x14ac:dyDescent="0.25">
      <c r="A13" s="8" t="s">
        <v>119</v>
      </c>
      <c r="B13" s="5">
        <f>MAX('Clean Data'!G:G)</f>
        <v>12.75</v>
      </c>
    </row>
    <row r="14" spans="1:12" ht="15" x14ac:dyDescent="0.25">
      <c r="A14" s="8" t="s">
        <v>120</v>
      </c>
      <c r="B14" s="5">
        <f>MIN('Clean Data'!G:G)</f>
        <v>0.55000000000000004</v>
      </c>
    </row>
    <row r="15" spans="1:12" ht="15" x14ac:dyDescent="0.25">
      <c r="A15" s="8" t="s">
        <v>121</v>
      </c>
      <c r="B15" s="5">
        <f>CORREL('Clean Data'!D2:D46,'Clean Data'!G2:G46)</f>
        <v>-0.13809823276785166</v>
      </c>
    </row>
    <row r="16" spans="1:12" ht="15" x14ac:dyDescent="0.25">
      <c r="A16" s="8" t="s">
        <v>122</v>
      </c>
      <c r="B16" s="5">
        <f>CORREL('Clean Data'!E2:E46,'Clean Data'!G2:G46)</f>
        <v>0.10778925048918223</v>
      </c>
    </row>
    <row r="19" spans="1:13" ht="18.75" x14ac:dyDescent="0.2">
      <c r="A19" s="13" t="s">
        <v>79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 ht="15.75" x14ac:dyDescent="0.2">
      <c r="A20" s="20" t="s">
        <v>84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ht="15.75" x14ac:dyDescent="0.2">
      <c r="A21" s="19" t="s">
        <v>150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5.75" x14ac:dyDescent="0.2">
      <c r="A22" s="18" t="s">
        <v>92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5.75" x14ac:dyDescent="0.2">
      <c r="A23" s="19" t="s">
        <v>145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5.7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5.75" customHeight="1" x14ac:dyDescent="0.2">
      <c r="A25" s="20" t="s">
        <v>85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 ht="15.75" customHeight="1" x14ac:dyDescent="0.2">
      <c r="A26" s="19" t="s">
        <v>155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5.7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5.75" x14ac:dyDescent="0.2">
      <c r="A28" s="20" t="s">
        <v>86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1:13" ht="15.75" x14ac:dyDescent="0.2">
      <c r="A29" s="20" t="s">
        <v>156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 ht="15.75" x14ac:dyDescent="0.2">
      <c r="A30" s="19" t="s">
        <v>87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</row>
    <row r="31" spans="1:13" ht="15.75" x14ac:dyDescent="0.2">
      <c r="A31" s="18" t="s">
        <v>88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5.75" x14ac:dyDescent="0.2">
      <c r="A32" s="18" t="s">
        <v>89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5.7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5.75" x14ac:dyDescent="0.2">
      <c r="A34" s="20" t="s">
        <v>157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15.75" x14ac:dyDescent="0.2">
      <c r="A35" s="19" t="s">
        <v>90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spans="1:13" ht="15.75" x14ac:dyDescent="0.2">
      <c r="A36" s="18" t="s">
        <v>91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</sheetData>
  <mergeCells count="24">
    <mergeCell ref="A6:L6"/>
    <mergeCell ref="A32:M32"/>
    <mergeCell ref="A19:M19"/>
    <mergeCell ref="A20:M20"/>
    <mergeCell ref="A21:M21"/>
    <mergeCell ref="A22:M22"/>
    <mergeCell ref="A23:M23"/>
    <mergeCell ref="A7:L7"/>
    <mergeCell ref="A2:L2"/>
    <mergeCell ref="A34:M34"/>
    <mergeCell ref="A35:M35"/>
    <mergeCell ref="A36:M36"/>
    <mergeCell ref="A24:M24"/>
    <mergeCell ref="A27:M27"/>
    <mergeCell ref="A33:M33"/>
    <mergeCell ref="A26:M26"/>
    <mergeCell ref="A28:M28"/>
    <mergeCell ref="A29:M29"/>
    <mergeCell ref="A30:M30"/>
    <mergeCell ref="A31:M31"/>
    <mergeCell ref="A25:M25"/>
    <mergeCell ref="A3:L3"/>
    <mergeCell ref="A4:L4"/>
    <mergeCell ref="A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9376-287D-443A-B7E8-046B0D13AF96}">
  <dimension ref="A3:S93"/>
  <sheetViews>
    <sheetView workbookViewId="0">
      <selection activeCell="I50" sqref="I50"/>
    </sheetView>
  </sheetViews>
  <sheetFormatPr defaultRowHeight="12.75" x14ac:dyDescent="0.2"/>
  <cols>
    <col min="1" max="1" width="14.28515625" bestFit="1" customWidth="1"/>
    <col min="2" max="2" width="16.140625" bestFit="1" customWidth="1"/>
    <col min="3" max="3" width="11.7109375" bestFit="1" customWidth="1"/>
    <col min="4" max="9" width="13.42578125" bestFit="1" customWidth="1"/>
    <col min="10" max="10" width="39.42578125" bestFit="1" customWidth="1"/>
    <col min="11" max="12" width="16.140625" bestFit="1" customWidth="1"/>
    <col min="13" max="42" width="14.42578125" bestFit="1" customWidth="1"/>
    <col min="43" max="43" width="11.7109375" bestFit="1" customWidth="1"/>
  </cols>
  <sheetData>
    <row r="3" spans="1:11" x14ac:dyDescent="0.2">
      <c r="A3" s="6" t="s">
        <v>149</v>
      </c>
      <c r="B3" t="s">
        <v>148</v>
      </c>
      <c r="J3" s="6" t="s">
        <v>7</v>
      </c>
      <c r="K3" t="s">
        <v>93</v>
      </c>
    </row>
    <row r="4" spans="1:11" x14ac:dyDescent="0.2">
      <c r="A4" s="10" t="s">
        <v>94</v>
      </c>
      <c r="B4" s="25">
        <v>140.4</v>
      </c>
      <c r="J4" s="10" t="s">
        <v>27</v>
      </c>
      <c r="K4" s="25">
        <v>1</v>
      </c>
    </row>
    <row r="5" spans="1:11" x14ac:dyDescent="0.2">
      <c r="A5" s="10" t="s">
        <v>95</v>
      </c>
      <c r="B5" s="25">
        <v>244.9</v>
      </c>
      <c r="J5" s="10" t="s">
        <v>15</v>
      </c>
      <c r="K5" s="25">
        <v>1</v>
      </c>
    </row>
    <row r="6" spans="1:11" x14ac:dyDescent="0.2">
      <c r="A6" s="10" t="s">
        <v>96</v>
      </c>
      <c r="B6" s="25">
        <v>457</v>
      </c>
      <c r="J6" s="10" t="s">
        <v>59</v>
      </c>
      <c r="K6" s="25">
        <v>2</v>
      </c>
    </row>
    <row r="7" spans="1:11" x14ac:dyDescent="0.2">
      <c r="A7" s="10" t="s">
        <v>97</v>
      </c>
      <c r="B7" s="25">
        <v>1465.45</v>
      </c>
      <c r="J7" s="10" t="s">
        <v>24</v>
      </c>
      <c r="K7" s="25">
        <v>2</v>
      </c>
    </row>
    <row r="8" spans="1:11" x14ac:dyDescent="0.2">
      <c r="A8" s="10" t="s">
        <v>98</v>
      </c>
      <c r="B8" s="25">
        <v>27.099999999999998</v>
      </c>
      <c r="J8" s="10" t="s">
        <v>9</v>
      </c>
      <c r="K8" s="25">
        <v>39</v>
      </c>
    </row>
    <row r="9" spans="1:11" x14ac:dyDescent="0.2">
      <c r="A9" s="10" t="s">
        <v>147</v>
      </c>
      <c r="B9" s="25">
        <v>2334.849999999999</v>
      </c>
      <c r="J9" s="10" t="s">
        <v>147</v>
      </c>
      <c r="K9" s="25">
        <v>45</v>
      </c>
    </row>
    <row r="23" spans="1:11" x14ac:dyDescent="0.2">
      <c r="A23" s="6" t="s">
        <v>7</v>
      </c>
      <c r="B23" t="s">
        <v>148</v>
      </c>
      <c r="J23" s="6" t="s">
        <v>154</v>
      </c>
      <c r="K23" t="s">
        <v>148</v>
      </c>
    </row>
    <row r="24" spans="1:11" x14ac:dyDescent="0.2">
      <c r="A24" s="10" t="s">
        <v>15</v>
      </c>
      <c r="B24" s="25">
        <v>9</v>
      </c>
      <c r="J24" s="10" t="s">
        <v>29</v>
      </c>
      <c r="K24" s="25">
        <v>1160</v>
      </c>
    </row>
    <row r="25" spans="1:11" x14ac:dyDescent="0.2">
      <c r="A25" s="10" t="s">
        <v>27</v>
      </c>
      <c r="B25" s="25">
        <v>15</v>
      </c>
      <c r="J25" s="10" t="s">
        <v>51</v>
      </c>
      <c r="K25" s="25">
        <v>204</v>
      </c>
    </row>
    <row r="26" spans="1:11" x14ac:dyDescent="0.2">
      <c r="A26" s="10" t="s">
        <v>24</v>
      </c>
      <c r="B26" s="25">
        <v>27.6</v>
      </c>
      <c r="J26" s="10" t="s">
        <v>35</v>
      </c>
      <c r="K26" s="25">
        <v>100.80000000000001</v>
      </c>
    </row>
    <row r="27" spans="1:11" x14ac:dyDescent="0.2">
      <c r="A27" s="10" t="s">
        <v>59</v>
      </c>
      <c r="B27" s="25">
        <v>50.500000000000007</v>
      </c>
      <c r="J27" s="10" t="s">
        <v>32</v>
      </c>
      <c r="K27" s="25">
        <v>82.5</v>
      </c>
    </row>
    <row r="28" spans="1:11" x14ac:dyDescent="0.2">
      <c r="A28" s="10" t="s">
        <v>9</v>
      </c>
      <c r="B28" s="25">
        <v>2232.7499999999991</v>
      </c>
      <c r="J28" s="10" t="s">
        <v>40</v>
      </c>
      <c r="K28" s="25">
        <v>81.599999999999994</v>
      </c>
    </row>
    <row r="29" spans="1:11" x14ac:dyDescent="0.2">
      <c r="A29" s="10" t="s">
        <v>147</v>
      </c>
      <c r="B29" s="25">
        <v>2334.849999999999</v>
      </c>
      <c r="J29" s="10" t="s">
        <v>50</v>
      </c>
      <c r="K29" s="25">
        <v>70.050000000000011</v>
      </c>
    </row>
    <row r="30" spans="1:11" x14ac:dyDescent="0.2">
      <c r="J30" s="10" t="s">
        <v>63</v>
      </c>
      <c r="K30" s="25">
        <v>59.5</v>
      </c>
    </row>
    <row r="31" spans="1:11" x14ac:dyDescent="0.2">
      <c r="J31" s="10" t="s">
        <v>64</v>
      </c>
      <c r="K31" s="25">
        <v>59.5</v>
      </c>
    </row>
    <row r="32" spans="1:11" x14ac:dyDescent="0.2">
      <c r="J32" s="10" t="s">
        <v>61</v>
      </c>
      <c r="K32" s="25">
        <v>59.400000000000006</v>
      </c>
    </row>
    <row r="33" spans="1:11" x14ac:dyDescent="0.2">
      <c r="J33" s="10" t="s">
        <v>34</v>
      </c>
      <c r="K33" s="25">
        <v>50.699999999999996</v>
      </c>
    </row>
    <row r="34" spans="1:11" x14ac:dyDescent="0.2">
      <c r="J34" s="10" t="s">
        <v>147</v>
      </c>
      <c r="K34" s="25">
        <v>1928.05</v>
      </c>
    </row>
    <row r="43" spans="1:11" ht="18.75" customHeight="1" x14ac:dyDescent="0.2">
      <c r="A43" s="13" t="s">
        <v>99</v>
      </c>
      <c r="B43" s="13"/>
      <c r="C43" s="13"/>
      <c r="D43" s="13"/>
      <c r="E43" s="13"/>
      <c r="F43" s="13"/>
      <c r="G43" s="13"/>
      <c r="H43" s="11"/>
      <c r="I43" s="11"/>
    </row>
    <row r="44" spans="1:11" ht="15.75" x14ac:dyDescent="0.2">
      <c r="A44" s="28" t="s">
        <v>159</v>
      </c>
      <c r="B44" s="28"/>
      <c r="C44" s="28"/>
      <c r="D44" s="28"/>
      <c r="E44" s="28"/>
      <c r="F44" s="28"/>
      <c r="G44" s="28"/>
    </row>
    <row r="45" spans="1:11" ht="15.75" x14ac:dyDescent="0.2">
      <c r="A45" s="18" t="s">
        <v>160</v>
      </c>
      <c r="B45" s="18"/>
      <c r="C45" s="18"/>
      <c r="D45" s="18"/>
      <c r="E45" s="18"/>
      <c r="F45" s="18"/>
      <c r="G45" s="18"/>
    </row>
    <row r="46" spans="1:11" ht="15.75" x14ac:dyDescent="0.2">
      <c r="A46" s="18" t="s">
        <v>161</v>
      </c>
      <c r="B46" s="18"/>
      <c r="C46" s="18"/>
      <c r="D46" s="18"/>
      <c r="E46" s="18"/>
      <c r="F46" s="18"/>
      <c r="G46" s="18"/>
    </row>
    <row r="47" spans="1:11" ht="15.75" x14ac:dyDescent="0.2">
      <c r="A47" s="18" t="s">
        <v>162</v>
      </c>
      <c r="B47" s="18"/>
      <c r="C47" s="18"/>
      <c r="D47" s="18"/>
      <c r="E47" s="18"/>
      <c r="F47" s="18"/>
      <c r="G47" s="18"/>
    </row>
    <row r="48" spans="1:11" ht="15.75" x14ac:dyDescent="0.2">
      <c r="A48" s="18"/>
      <c r="B48" s="18"/>
      <c r="C48" s="18"/>
      <c r="D48" s="18"/>
      <c r="E48" s="18"/>
      <c r="F48" s="18"/>
      <c r="G48" s="18"/>
    </row>
    <row r="49" spans="1:16" ht="15.75" x14ac:dyDescent="0.2">
      <c r="A49" s="28" t="s">
        <v>163</v>
      </c>
      <c r="B49" s="28"/>
      <c r="C49" s="28"/>
      <c r="D49" s="28"/>
      <c r="E49" s="28"/>
      <c r="F49" s="28"/>
      <c r="G49" s="28"/>
    </row>
    <row r="50" spans="1:16" ht="15.75" x14ac:dyDescent="0.2">
      <c r="A50" s="18" t="s">
        <v>164</v>
      </c>
      <c r="B50" s="18"/>
      <c r="C50" s="18"/>
      <c r="D50" s="18"/>
      <c r="E50" s="18"/>
      <c r="F50" s="18"/>
      <c r="G50" s="18"/>
    </row>
    <row r="51" spans="1:16" ht="15.75" x14ac:dyDescent="0.2">
      <c r="A51" s="18" t="s">
        <v>165</v>
      </c>
      <c r="B51" s="18"/>
      <c r="C51" s="18"/>
      <c r="D51" s="18"/>
      <c r="E51" s="18"/>
      <c r="F51" s="18"/>
      <c r="G51" s="18"/>
    </row>
    <row r="52" spans="1:16" ht="15.75" x14ac:dyDescent="0.2">
      <c r="A52" s="18" t="s">
        <v>166</v>
      </c>
      <c r="B52" s="18"/>
      <c r="C52" s="18"/>
      <c r="D52" s="18"/>
      <c r="E52" s="18"/>
      <c r="F52" s="18"/>
      <c r="G52" s="18"/>
    </row>
    <row r="53" spans="1:16" ht="15.75" x14ac:dyDescent="0.2">
      <c r="A53" s="18"/>
      <c r="B53" s="18"/>
      <c r="C53" s="18"/>
      <c r="D53" s="18"/>
      <c r="E53" s="18"/>
      <c r="F53" s="18"/>
      <c r="G53" s="18"/>
    </row>
    <row r="54" spans="1:16" ht="15.75" x14ac:dyDescent="0.2">
      <c r="A54" s="28" t="s">
        <v>167</v>
      </c>
      <c r="B54" s="28"/>
      <c r="C54" s="28"/>
      <c r="D54" s="28"/>
      <c r="E54" s="28"/>
      <c r="F54" s="28"/>
      <c r="G54" s="28"/>
    </row>
    <row r="55" spans="1:16" ht="15.75" x14ac:dyDescent="0.2">
      <c r="A55" s="18" t="s">
        <v>168</v>
      </c>
      <c r="B55" s="18"/>
      <c r="C55" s="18"/>
      <c r="D55" s="18"/>
      <c r="E55" s="18"/>
      <c r="F55" s="18"/>
      <c r="G55" s="18"/>
    </row>
    <row r="56" spans="1:16" ht="15.75" x14ac:dyDescent="0.2">
      <c r="A56" s="18" t="s">
        <v>169</v>
      </c>
      <c r="B56" s="18"/>
      <c r="C56" s="18"/>
      <c r="D56" s="18"/>
      <c r="E56" s="18"/>
      <c r="F56" s="18"/>
      <c r="G56" s="18"/>
    </row>
    <row r="57" spans="1:16" ht="15.75" x14ac:dyDescent="0.2">
      <c r="A57" s="18" t="s">
        <v>170</v>
      </c>
      <c r="B57" s="18"/>
      <c r="C57" s="18"/>
      <c r="D57" s="18"/>
      <c r="E57" s="18"/>
      <c r="F57" s="18"/>
      <c r="G57" s="18"/>
    </row>
    <row r="58" spans="1:16" ht="15.75" x14ac:dyDescent="0.2">
      <c r="A58" s="18"/>
      <c r="B58" s="18"/>
      <c r="C58" s="18"/>
      <c r="D58" s="18"/>
      <c r="E58" s="18"/>
      <c r="F58" s="18"/>
      <c r="G58" s="18"/>
    </row>
    <row r="59" spans="1:16" ht="15.75" x14ac:dyDescent="0.2">
      <c r="A59" s="28" t="s">
        <v>171</v>
      </c>
      <c r="B59" s="28"/>
      <c r="C59" s="28"/>
      <c r="D59" s="28"/>
      <c r="E59" s="28"/>
      <c r="F59" s="28"/>
      <c r="G59" s="28"/>
    </row>
    <row r="60" spans="1:16" ht="15.75" x14ac:dyDescent="0.2">
      <c r="A60" s="18" t="s">
        <v>172</v>
      </c>
      <c r="B60" s="18"/>
      <c r="C60" s="18"/>
      <c r="D60" s="18"/>
      <c r="E60" s="18"/>
      <c r="F60" s="18"/>
      <c r="G60" s="18"/>
    </row>
    <row r="61" spans="1:16" ht="15.75" x14ac:dyDescent="0.2">
      <c r="A61" s="18" t="s">
        <v>173</v>
      </c>
      <c r="B61" s="18"/>
      <c r="C61" s="18"/>
      <c r="D61" s="18"/>
      <c r="E61" s="18"/>
      <c r="F61" s="18"/>
      <c r="G61" s="18"/>
    </row>
    <row r="62" spans="1:16" ht="15.75" x14ac:dyDescent="0.2">
      <c r="A62" s="18" t="s">
        <v>174</v>
      </c>
      <c r="B62" s="18"/>
      <c r="C62" s="18"/>
      <c r="D62" s="18"/>
      <c r="E62" s="18"/>
      <c r="F62" s="18"/>
      <c r="G62" s="18"/>
    </row>
    <row r="63" spans="1:16" x14ac:dyDescent="0.2">
      <c r="A63" s="12"/>
      <c r="B63" s="12"/>
      <c r="C63" s="12"/>
      <c r="D63" s="12"/>
      <c r="E63" s="12"/>
      <c r="F63" s="12"/>
      <c r="G63" s="12"/>
    </row>
    <row r="64" spans="1:16" ht="17.25" customHeight="1" x14ac:dyDescent="0.2">
      <c r="A64" s="28" t="s">
        <v>175</v>
      </c>
      <c r="B64" s="28"/>
      <c r="C64" s="28"/>
      <c r="D64" s="28"/>
      <c r="E64" s="28"/>
      <c r="F64" s="28"/>
      <c r="G64" s="28"/>
      <c r="J64" s="12"/>
      <c r="K64" s="12"/>
      <c r="L64" s="12"/>
      <c r="M64" s="12"/>
      <c r="N64" s="12"/>
      <c r="O64" s="12"/>
      <c r="P64" s="12"/>
    </row>
    <row r="65" spans="1:19" ht="17.25" customHeight="1" x14ac:dyDescent="0.2">
      <c r="A65" s="18" t="s">
        <v>176</v>
      </c>
      <c r="B65" s="18"/>
      <c r="C65" s="18"/>
      <c r="D65" s="18"/>
      <c r="E65" s="18"/>
      <c r="F65" s="18"/>
      <c r="G65" s="18"/>
      <c r="J65" s="12"/>
      <c r="K65" s="12"/>
      <c r="L65" s="12"/>
      <c r="M65" s="12"/>
      <c r="N65" s="12"/>
      <c r="O65" s="12"/>
      <c r="P65" s="12"/>
    </row>
    <row r="66" spans="1:19" ht="17.25" customHeight="1" x14ac:dyDescent="0.2">
      <c r="A66" s="18" t="s">
        <v>177</v>
      </c>
      <c r="B66" s="18"/>
      <c r="C66" s="18"/>
      <c r="D66" s="18"/>
      <c r="E66" s="18"/>
      <c r="F66" s="18"/>
      <c r="G66" s="18"/>
      <c r="J66" s="12"/>
      <c r="K66" s="12"/>
      <c r="L66" s="12"/>
      <c r="M66" s="12"/>
      <c r="N66" s="12"/>
      <c r="O66" s="12"/>
      <c r="P66" s="12"/>
    </row>
    <row r="67" spans="1:19" ht="17.25" customHeight="1" x14ac:dyDescent="0.2">
      <c r="A67" s="18" t="s">
        <v>178</v>
      </c>
      <c r="B67" s="18"/>
      <c r="C67" s="18"/>
      <c r="D67" s="18"/>
      <c r="E67" s="18"/>
      <c r="F67" s="18"/>
      <c r="G67" s="18"/>
      <c r="J67" s="12"/>
      <c r="K67" s="12"/>
      <c r="L67" s="12"/>
      <c r="M67" s="12"/>
      <c r="N67" s="12"/>
      <c r="O67" s="12"/>
      <c r="P67" s="12"/>
    </row>
    <row r="68" spans="1:19" x14ac:dyDescent="0.2">
      <c r="J68" s="12"/>
      <c r="K68" s="12"/>
      <c r="L68" s="12"/>
      <c r="M68" s="12"/>
      <c r="N68" s="12"/>
      <c r="O68" s="12"/>
      <c r="P68" s="12"/>
    </row>
    <row r="80" spans="1:19" ht="15.75" x14ac:dyDescent="0.2">
      <c r="K80" s="20" t="s">
        <v>100</v>
      </c>
      <c r="L80" s="20"/>
      <c r="M80" s="20"/>
      <c r="N80" s="20"/>
      <c r="O80" s="20"/>
      <c r="P80" s="20"/>
      <c r="Q80" s="20"/>
      <c r="R80" s="20"/>
      <c r="S80" s="20"/>
    </row>
    <row r="81" spans="11:19" ht="15.75" x14ac:dyDescent="0.2">
      <c r="K81" s="18" t="s">
        <v>111</v>
      </c>
      <c r="L81" s="18"/>
      <c r="M81" s="18"/>
      <c r="N81" s="18"/>
      <c r="O81" s="18"/>
      <c r="P81" s="18"/>
      <c r="Q81" s="18"/>
      <c r="R81" s="18"/>
      <c r="S81" s="18"/>
    </row>
    <row r="82" spans="11:19" ht="15.75" x14ac:dyDescent="0.2">
      <c r="K82" s="18" t="s">
        <v>103</v>
      </c>
      <c r="L82" s="18"/>
      <c r="M82" s="18"/>
      <c r="N82" s="18"/>
      <c r="O82" s="18"/>
      <c r="P82" s="18"/>
      <c r="Q82" s="18"/>
      <c r="R82" s="18"/>
      <c r="S82" s="18"/>
    </row>
    <row r="83" spans="11:19" ht="15.75" x14ac:dyDescent="0.2">
      <c r="K83" s="18" t="s">
        <v>104</v>
      </c>
      <c r="L83" s="18"/>
      <c r="M83" s="18"/>
      <c r="N83" s="18"/>
      <c r="O83" s="18"/>
      <c r="P83" s="18"/>
      <c r="Q83" s="18"/>
      <c r="R83" s="18"/>
      <c r="S83" s="18"/>
    </row>
    <row r="84" spans="11:19" x14ac:dyDescent="0.2">
      <c r="K84" s="12"/>
      <c r="L84" s="12"/>
      <c r="M84" s="12"/>
      <c r="N84" s="12"/>
      <c r="O84" s="12"/>
      <c r="P84" s="12"/>
      <c r="Q84" s="12"/>
      <c r="R84" s="12"/>
      <c r="S84" s="12"/>
    </row>
    <row r="85" spans="11:19" ht="15.75" x14ac:dyDescent="0.2">
      <c r="K85" s="20" t="s">
        <v>101</v>
      </c>
      <c r="L85" s="20"/>
      <c r="M85" s="20"/>
      <c r="N85" s="20"/>
      <c r="O85" s="20"/>
      <c r="P85" s="20"/>
      <c r="Q85" s="20"/>
      <c r="R85" s="20"/>
      <c r="S85" s="20"/>
    </row>
    <row r="86" spans="11:19" ht="15.75" x14ac:dyDescent="0.2">
      <c r="K86" s="18" t="s">
        <v>105</v>
      </c>
      <c r="L86" s="18"/>
      <c r="M86" s="18"/>
      <c r="N86" s="18"/>
      <c r="O86" s="18"/>
      <c r="P86" s="18"/>
      <c r="Q86" s="18"/>
      <c r="R86" s="18"/>
      <c r="S86" s="18"/>
    </row>
    <row r="87" spans="11:19" ht="15.75" x14ac:dyDescent="0.2">
      <c r="K87" s="18" t="s">
        <v>106</v>
      </c>
      <c r="L87" s="18"/>
      <c r="M87" s="18"/>
      <c r="N87" s="18"/>
      <c r="O87" s="18"/>
      <c r="P87" s="18"/>
      <c r="Q87" s="18"/>
      <c r="R87" s="18"/>
      <c r="S87" s="18"/>
    </row>
    <row r="88" spans="11:19" ht="15.75" x14ac:dyDescent="0.2">
      <c r="K88" s="18" t="s">
        <v>107</v>
      </c>
      <c r="L88" s="18"/>
      <c r="M88" s="18"/>
      <c r="N88" s="18"/>
      <c r="O88" s="18"/>
      <c r="P88" s="18"/>
      <c r="Q88" s="18"/>
      <c r="R88" s="18"/>
      <c r="S88" s="18"/>
    </row>
    <row r="89" spans="11:19" x14ac:dyDescent="0.2">
      <c r="K89" s="12"/>
      <c r="L89" s="12"/>
      <c r="M89" s="12"/>
      <c r="N89" s="12"/>
      <c r="O89" s="12"/>
      <c r="P89" s="12"/>
      <c r="Q89" s="12"/>
      <c r="R89" s="12"/>
      <c r="S89" s="12"/>
    </row>
    <row r="90" spans="11:19" ht="15.75" x14ac:dyDescent="0.2">
      <c r="K90" s="20" t="s">
        <v>102</v>
      </c>
      <c r="L90" s="20"/>
      <c r="M90" s="20"/>
      <c r="N90" s="20"/>
      <c r="O90" s="20"/>
      <c r="P90" s="20"/>
      <c r="Q90" s="20"/>
      <c r="R90" s="20"/>
      <c r="S90" s="20"/>
    </row>
    <row r="91" spans="11:19" ht="15.75" x14ac:dyDescent="0.2">
      <c r="K91" s="18" t="s">
        <v>108</v>
      </c>
      <c r="L91" s="18"/>
      <c r="M91" s="18"/>
      <c r="N91" s="18"/>
      <c r="O91" s="18"/>
      <c r="P91" s="18"/>
      <c r="Q91" s="18"/>
      <c r="R91" s="18"/>
      <c r="S91" s="18"/>
    </row>
    <row r="92" spans="11:19" ht="15.75" x14ac:dyDescent="0.2">
      <c r="K92" s="18" t="s">
        <v>109</v>
      </c>
      <c r="L92" s="18"/>
      <c r="M92" s="18"/>
      <c r="N92" s="18"/>
      <c r="O92" s="18"/>
      <c r="P92" s="18"/>
      <c r="Q92" s="18"/>
      <c r="R92" s="18"/>
      <c r="S92" s="18"/>
    </row>
    <row r="93" spans="11:19" ht="15.75" x14ac:dyDescent="0.2">
      <c r="K93" s="18" t="s">
        <v>110</v>
      </c>
      <c r="L93" s="18"/>
      <c r="M93" s="18"/>
      <c r="N93" s="18"/>
      <c r="O93" s="18"/>
      <c r="P93" s="18"/>
      <c r="Q93" s="18"/>
      <c r="R93" s="18"/>
      <c r="S93" s="18"/>
    </row>
  </sheetData>
  <mergeCells count="44">
    <mergeCell ref="A67:G67"/>
    <mergeCell ref="A43:G43"/>
    <mergeCell ref="A48:G48"/>
    <mergeCell ref="A53:G53"/>
    <mergeCell ref="A58:G58"/>
    <mergeCell ref="A64:G64"/>
    <mergeCell ref="A65:G65"/>
    <mergeCell ref="A66:G66"/>
    <mergeCell ref="A55:G55"/>
    <mergeCell ref="A56:G56"/>
    <mergeCell ref="A57:G57"/>
    <mergeCell ref="A59:G59"/>
    <mergeCell ref="A60:G60"/>
    <mergeCell ref="A61:G61"/>
    <mergeCell ref="J67:P67"/>
    <mergeCell ref="J68:P68"/>
    <mergeCell ref="A44:G44"/>
    <mergeCell ref="A45:G45"/>
    <mergeCell ref="A46:G46"/>
    <mergeCell ref="A47:G47"/>
    <mergeCell ref="A49:G49"/>
    <mergeCell ref="A50:G50"/>
    <mergeCell ref="A51:G51"/>
    <mergeCell ref="A52:G52"/>
    <mergeCell ref="J64:P64"/>
    <mergeCell ref="J65:P65"/>
    <mergeCell ref="J66:P66"/>
    <mergeCell ref="K85:S85"/>
    <mergeCell ref="K86:S86"/>
    <mergeCell ref="K87:S87"/>
    <mergeCell ref="K88:S88"/>
    <mergeCell ref="K89:S89"/>
    <mergeCell ref="K90:S90"/>
    <mergeCell ref="K80:S80"/>
    <mergeCell ref="K81:S81"/>
    <mergeCell ref="K82:S82"/>
    <mergeCell ref="K83:S83"/>
    <mergeCell ref="K84:S84"/>
    <mergeCell ref="A62:G62"/>
    <mergeCell ref="A63:G63"/>
    <mergeCell ref="K91:S91"/>
    <mergeCell ref="K92:S92"/>
    <mergeCell ref="K93:S93"/>
    <mergeCell ref="A54:G54"/>
  </mergeCell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B393-E4DF-4DC3-A738-F659946783A7}">
  <dimension ref="A4:O34"/>
  <sheetViews>
    <sheetView tabSelected="1" workbookViewId="0">
      <selection activeCell="O18" sqref="O18"/>
    </sheetView>
  </sheetViews>
  <sheetFormatPr defaultRowHeight="12.75" x14ac:dyDescent="0.2"/>
  <cols>
    <col min="2" max="2" width="9.7109375" customWidth="1"/>
  </cols>
  <sheetData>
    <row r="4" spans="2:4" x14ac:dyDescent="0.2">
      <c r="B4" s="16" t="s">
        <v>77</v>
      </c>
      <c r="C4" s="16"/>
    </row>
    <row r="5" spans="2:4" x14ac:dyDescent="0.2">
      <c r="B5" s="12">
        <f>LINEST('Clean Data'!G2:G46,'Clean Data'!D2:D46,TRUE,FALSE)</f>
        <v>-2.9357246710850675E-3</v>
      </c>
      <c r="C5" s="12"/>
      <c r="D5" s="9">
        <f>INDEX(LINEST('Clean Data'!G2:G46,'Clean Data'!D2:D46,TRUE,FALSE),1,2)</f>
        <v>3.3123674389556039</v>
      </c>
    </row>
    <row r="7" spans="2:4" x14ac:dyDescent="0.2">
      <c r="B7" s="12"/>
      <c r="C7" s="12"/>
    </row>
    <row r="8" spans="2:4" x14ac:dyDescent="0.2">
      <c r="B8" s="16" t="s">
        <v>78</v>
      </c>
      <c r="C8" s="16"/>
    </row>
    <row r="9" spans="2:4" x14ac:dyDescent="0.2">
      <c r="B9" s="17" t="s">
        <v>152</v>
      </c>
      <c r="C9" s="12"/>
    </row>
    <row r="11" spans="2:4" x14ac:dyDescent="0.2">
      <c r="B11" s="14" t="s">
        <v>151</v>
      </c>
      <c r="C11" s="14"/>
    </row>
    <row r="12" spans="2:4" x14ac:dyDescent="0.2">
      <c r="B12" s="15">
        <f>-0.002936*900+3.31</f>
        <v>0.66760000000000019</v>
      </c>
      <c r="C12" s="15"/>
    </row>
    <row r="20" spans="1:15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ht="18.75" x14ac:dyDescent="0.2">
      <c r="A21" s="13" t="s">
        <v>79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5" ht="15.75" x14ac:dyDescent="0.2">
      <c r="A22" s="20" t="s">
        <v>80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5" ht="15.75" x14ac:dyDescent="0.2">
      <c r="A23" s="18" t="s">
        <v>113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5" ht="15.75" x14ac:dyDescent="0.2">
      <c r="A24" s="18" t="s">
        <v>114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5" ht="15.7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5" ht="15.75" customHeight="1" x14ac:dyDescent="0.2">
      <c r="A26" s="20" t="s">
        <v>81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5" ht="15.75" customHeight="1" x14ac:dyDescent="0.2">
      <c r="A27" s="18" t="s">
        <v>82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15" ht="15.75" customHeight="1" x14ac:dyDescent="0.2">
      <c r="A28" s="18" t="s">
        <v>115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5" ht="15.75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spans="1:15" ht="15.75" x14ac:dyDescent="0.2">
      <c r="A30" s="20" t="s">
        <v>112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15" ht="15.75" x14ac:dyDescent="0.2">
      <c r="A31" s="21" t="s">
        <v>83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5" ht="15.75" x14ac:dyDescent="0.2">
      <c r="A32" s="19" t="s">
        <v>153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5.75" x14ac:dyDescent="0.2">
      <c r="A33" s="18" t="s">
        <v>116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</sheetData>
  <mergeCells count="22">
    <mergeCell ref="A30:N30"/>
    <mergeCell ref="A31:N31"/>
    <mergeCell ref="A32:N32"/>
    <mergeCell ref="A33:N33"/>
    <mergeCell ref="A34:N34"/>
    <mergeCell ref="A25:N25"/>
    <mergeCell ref="A29:N29"/>
    <mergeCell ref="A22:N22"/>
    <mergeCell ref="A23:N23"/>
    <mergeCell ref="A24:N24"/>
    <mergeCell ref="A26:N26"/>
    <mergeCell ref="A27:N27"/>
    <mergeCell ref="A28:N28"/>
    <mergeCell ref="A20:O20"/>
    <mergeCell ref="A21:N21"/>
    <mergeCell ref="B11:C11"/>
    <mergeCell ref="B12:C12"/>
    <mergeCell ref="B4:C4"/>
    <mergeCell ref="B5:C5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Data</vt:lpstr>
      <vt:lpstr>Clean Data</vt:lpstr>
      <vt:lpstr>Exploring Data Numerically</vt:lpstr>
      <vt:lpstr>Exploring Data Visually</vt:lpstr>
      <vt:lpstr>Model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Sumaya Mateen</cp:lastModifiedBy>
  <dcterms:created xsi:type="dcterms:W3CDTF">2025-10-31T10:09:13Z</dcterms:created>
  <dcterms:modified xsi:type="dcterms:W3CDTF">2025-11-02T04:14:03Z</dcterms:modified>
</cp:coreProperties>
</file>